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/School/Python/MECH390/ML/Data/"/>
    </mc:Choice>
  </mc:AlternateContent>
  <xr:revisionPtr revIDLastSave="0" documentId="13_ncr:1_{97382C68-FA6E-9D4E-9315-59024936806B}" xr6:coauthVersionLast="47" xr6:coauthVersionMax="47" xr10:uidLastSave="{00000000-0000-0000-0000-000000000000}"/>
  <bookViews>
    <workbookView xWindow="29400" yWindow="500" windowWidth="38400" windowHeight="21100" xr2:uid="{BC048AF6-1244-4540-8538-620CC49C9B23}"/>
  </bookViews>
  <sheets>
    <sheet name="Geometry" sheetId="2" r:id="rId1"/>
    <sheet name="Dynamics" sheetId="3" r:id="rId2"/>
  </sheets>
  <definedNames>
    <definedName name="_xlnm._FilterDatabase" localSheetId="0" hidden="1">Geometry!$C$1:$D$101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2" l="1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3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2" i="2"/>
  <c r="AA3" i="2" l="1"/>
  <c r="AB3" i="2" s="1"/>
  <c r="AA4" i="2"/>
  <c r="AA5" i="2"/>
  <c r="AB5" i="2" s="1"/>
  <c r="AA6" i="2"/>
  <c r="AB6" i="2" s="1"/>
  <c r="AA7" i="2"/>
  <c r="AB7" i="2" s="1"/>
  <c r="AA8" i="2"/>
  <c r="AB8" i="2" s="1"/>
  <c r="AA9" i="2"/>
  <c r="AB9" i="2" s="1"/>
  <c r="AA10" i="2"/>
  <c r="AB10" i="2" s="1"/>
  <c r="AA11" i="2"/>
  <c r="AA12" i="2"/>
  <c r="AB12" i="2" s="1"/>
  <c r="AA13" i="2"/>
  <c r="AB13" i="2" s="1"/>
  <c r="AA14" i="2"/>
  <c r="AA15" i="2"/>
  <c r="AB15" i="2" s="1"/>
  <c r="AA16" i="2"/>
  <c r="AB16" i="2" s="1"/>
  <c r="AA17" i="2"/>
  <c r="AB17" i="2" s="1"/>
  <c r="AA18" i="2"/>
  <c r="AB18" i="2" s="1"/>
  <c r="AA19" i="2"/>
  <c r="AB19" i="2" s="1"/>
  <c r="AA20" i="2"/>
  <c r="AB20" i="2" s="1"/>
  <c r="AA21" i="2"/>
  <c r="AB21" i="2" s="1"/>
  <c r="AA22" i="2"/>
  <c r="AA23" i="2"/>
  <c r="AB23" i="2" s="1"/>
  <c r="AA24" i="2"/>
  <c r="AA25" i="2"/>
  <c r="AB25" i="2" s="1"/>
  <c r="AA26" i="2"/>
  <c r="AB26" i="2" s="1"/>
  <c r="AA27" i="2"/>
  <c r="AB27" i="2" s="1"/>
  <c r="AA28" i="2"/>
  <c r="AB28" i="2" s="1"/>
  <c r="AA29" i="2"/>
  <c r="AB29" i="2" s="1"/>
  <c r="AA30" i="2"/>
  <c r="AB30" i="2" s="1"/>
  <c r="AA31" i="2"/>
  <c r="AB31" i="2" s="1"/>
  <c r="AA32" i="2"/>
  <c r="AB32" i="2" s="1"/>
  <c r="AA33" i="2"/>
  <c r="AB33" i="2" s="1"/>
  <c r="AA34" i="2"/>
  <c r="AA35" i="2"/>
  <c r="AB35" i="2" s="1"/>
  <c r="AA36" i="2"/>
  <c r="AB36" i="2" s="1"/>
  <c r="AA37" i="2"/>
  <c r="AB37" i="2" s="1"/>
  <c r="AA38" i="2"/>
  <c r="AB38" i="2" s="1"/>
  <c r="AA39" i="2"/>
  <c r="AB39" i="2" s="1"/>
  <c r="AA40" i="2"/>
  <c r="AB40" i="2" s="1"/>
  <c r="AA41" i="2"/>
  <c r="AB41" i="2" s="1"/>
  <c r="AA42" i="2"/>
  <c r="AB42" i="2" s="1"/>
  <c r="AA43" i="2"/>
  <c r="AB43" i="2" s="1"/>
  <c r="AA44" i="2"/>
  <c r="AA45" i="2"/>
  <c r="AB45" i="2" s="1"/>
  <c r="AA46" i="2"/>
  <c r="AB46" i="2" s="1"/>
  <c r="AA47" i="2"/>
  <c r="AB47" i="2" s="1"/>
  <c r="AA48" i="2"/>
  <c r="AA49" i="2"/>
  <c r="AB49" i="2" s="1"/>
  <c r="AA50" i="2"/>
  <c r="AB50" i="2" s="1"/>
  <c r="AA51" i="2"/>
  <c r="AA52" i="2"/>
  <c r="AA53" i="2"/>
  <c r="AB53" i="2" s="1"/>
  <c r="AA54" i="2"/>
  <c r="AA55" i="2"/>
  <c r="AB55" i="2" s="1"/>
  <c r="AA56" i="2"/>
  <c r="AB56" i="2" s="1"/>
  <c r="AA57" i="2"/>
  <c r="AB57" i="2" s="1"/>
  <c r="AA58" i="2"/>
  <c r="AB58" i="2" s="1"/>
  <c r="AA59" i="2"/>
  <c r="AB59" i="2" s="1"/>
  <c r="AA60" i="2"/>
  <c r="AB60" i="2" s="1"/>
  <c r="AA61" i="2"/>
  <c r="AA62" i="2"/>
  <c r="AA63" i="2"/>
  <c r="AB63" i="2" s="1"/>
  <c r="AA64" i="2"/>
  <c r="AA65" i="2"/>
  <c r="AB65" i="2" s="1"/>
  <c r="AA66" i="2"/>
  <c r="AB66" i="2" s="1"/>
  <c r="AA67" i="2"/>
  <c r="AB67" i="2" s="1"/>
  <c r="AA68" i="2"/>
  <c r="AA69" i="2"/>
  <c r="AB69" i="2" s="1"/>
  <c r="AA70" i="2"/>
  <c r="AB70" i="2" s="1"/>
  <c r="AA71" i="2"/>
  <c r="AB71" i="2" s="1"/>
  <c r="AA72" i="2"/>
  <c r="AA73" i="2"/>
  <c r="AB73" i="2" s="1"/>
  <c r="AA74" i="2"/>
  <c r="AA75" i="2"/>
  <c r="AB75" i="2" s="1"/>
  <c r="AA76" i="2"/>
  <c r="AB76" i="2" s="1"/>
  <c r="AA77" i="2"/>
  <c r="AB77" i="2" s="1"/>
  <c r="AA78" i="2"/>
  <c r="AB78" i="2" s="1"/>
  <c r="AA79" i="2"/>
  <c r="AB79" i="2" s="1"/>
  <c r="AA80" i="2"/>
  <c r="AB80" i="2" s="1"/>
  <c r="AA81" i="2"/>
  <c r="AB81" i="2" s="1"/>
  <c r="AA82" i="2"/>
  <c r="AB82" i="2" s="1"/>
  <c r="AA83" i="2"/>
  <c r="AB83" i="2" s="1"/>
  <c r="AA84" i="2"/>
  <c r="AA85" i="2"/>
  <c r="AB85" i="2" s="1"/>
  <c r="AA86" i="2"/>
  <c r="AB86" i="2" s="1"/>
  <c r="AA87" i="2"/>
  <c r="AB87" i="2" s="1"/>
  <c r="AA88" i="2"/>
  <c r="AB88" i="2" s="1"/>
  <c r="AA89" i="2"/>
  <c r="AB89" i="2" s="1"/>
  <c r="AA90" i="2"/>
  <c r="AB90" i="2" s="1"/>
  <c r="AA91" i="2"/>
  <c r="AA92" i="2"/>
  <c r="AB92" i="2" s="1"/>
  <c r="AA93" i="2"/>
  <c r="AB93" i="2" s="1"/>
  <c r="AA94" i="2"/>
  <c r="AA95" i="2"/>
  <c r="AB95" i="2" s="1"/>
  <c r="AA96" i="2"/>
  <c r="AB96" i="2" s="1"/>
  <c r="AA97" i="2"/>
  <c r="AA98" i="2"/>
  <c r="AB98" i="2" s="1"/>
  <c r="AA99" i="2"/>
  <c r="AB99" i="2" s="1"/>
  <c r="AA100" i="2"/>
  <c r="AB100" i="2" s="1"/>
  <c r="AA101" i="2"/>
  <c r="AB101" i="2" s="1"/>
  <c r="AB4" i="2"/>
  <c r="AB11" i="2"/>
  <c r="AB14" i="2"/>
  <c r="AB22" i="2"/>
  <c r="AB24" i="2"/>
  <c r="AB34" i="2"/>
  <c r="AB44" i="2"/>
  <c r="AB48" i="2"/>
  <c r="AB51" i="2"/>
  <c r="AB52" i="2"/>
  <c r="AB54" i="2"/>
  <c r="AB61" i="2"/>
  <c r="AB62" i="2"/>
  <c r="AB64" i="2"/>
  <c r="AB68" i="2"/>
  <c r="AB72" i="2"/>
  <c r="AB74" i="2"/>
  <c r="AB84" i="2"/>
  <c r="AB91" i="2"/>
  <c r="AB94" i="2"/>
  <c r="AB97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2" i="2"/>
  <c r="I2" i="2"/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2" i="2"/>
  <c r="AA2" i="2"/>
  <c r="AB2" i="2" s="1"/>
  <c r="X100" i="2" l="1"/>
  <c r="X60" i="2"/>
  <c r="X30" i="2"/>
  <c r="X79" i="2"/>
  <c r="X39" i="2"/>
  <c r="X98" i="2"/>
  <c r="X78" i="2"/>
  <c r="X48" i="2"/>
  <c r="X38" i="2"/>
  <c r="X28" i="2"/>
  <c r="X18" i="2"/>
  <c r="X8" i="2"/>
  <c r="X92" i="2"/>
  <c r="X101" i="2"/>
  <c r="X80" i="2"/>
  <c r="X40" i="2"/>
  <c r="X10" i="2"/>
  <c r="X69" i="2"/>
  <c r="X49" i="2"/>
  <c r="X19" i="2"/>
  <c r="X97" i="2"/>
  <c r="X87" i="2"/>
  <c r="X77" i="2"/>
  <c r="X67" i="2"/>
  <c r="X57" i="2"/>
  <c r="X47" i="2"/>
  <c r="X37" i="2"/>
  <c r="X27" i="2"/>
  <c r="X17" i="2"/>
  <c r="X7" i="2"/>
  <c r="X46" i="2"/>
  <c r="X36" i="2"/>
  <c r="X26" i="2"/>
  <c r="X16" i="2"/>
  <c r="X6" i="2"/>
  <c r="X82" i="2"/>
  <c r="X52" i="2"/>
  <c r="X22" i="2"/>
  <c r="X81" i="2"/>
  <c r="X61" i="2"/>
  <c r="X31" i="2"/>
  <c r="X90" i="2"/>
  <c r="X99" i="2"/>
  <c r="X59" i="2"/>
  <c r="X29" i="2"/>
  <c r="X9" i="2"/>
  <c r="X88" i="2"/>
  <c r="X72" i="2"/>
  <c r="X42" i="2"/>
  <c r="X50" i="2"/>
  <c r="X89" i="2"/>
  <c r="X58" i="2"/>
  <c r="X62" i="2"/>
  <c r="X32" i="2"/>
  <c r="X12" i="2"/>
  <c r="X91" i="2"/>
  <c r="X71" i="2"/>
  <c r="X51" i="2"/>
  <c r="X41" i="2"/>
  <c r="X21" i="2"/>
  <c r="X11" i="2"/>
  <c r="X70" i="2"/>
  <c r="X20" i="2"/>
  <c r="X68" i="2"/>
  <c r="X96" i="2"/>
  <c r="X86" i="2"/>
  <c r="X76" i="2"/>
  <c r="X66" i="2"/>
  <c r="X56" i="2"/>
  <c r="X95" i="2"/>
  <c r="X85" i="2"/>
  <c r="X75" i="2"/>
  <c r="X65" i="2"/>
  <c r="X55" i="2"/>
  <c r="X45" i="2"/>
  <c r="X35" i="2"/>
  <c r="X25" i="2"/>
  <c r="X15" i="2"/>
  <c r="X5" i="2"/>
  <c r="X94" i="2"/>
  <c r="X84" i="2"/>
  <c r="X74" i="2"/>
  <c r="X64" i="2"/>
  <c r="X54" i="2"/>
  <c r="X44" i="2"/>
  <c r="X34" i="2"/>
  <c r="X24" i="2"/>
  <c r="X14" i="2"/>
  <c r="X4" i="2"/>
  <c r="X93" i="2"/>
  <c r="X83" i="2"/>
  <c r="X73" i="2"/>
  <c r="X63" i="2"/>
  <c r="X53" i="2"/>
  <c r="X43" i="2"/>
  <c r="X33" i="2"/>
  <c r="X23" i="2"/>
  <c r="X13" i="2"/>
  <c r="X3" i="2"/>
  <c r="O90" i="2"/>
  <c r="P90" i="2"/>
  <c r="P20" i="2"/>
  <c r="O20" i="2"/>
  <c r="P89" i="2"/>
  <c r="O89" i="2"/>
  <c r="O69" i="2"/>
  <c r="P69" i="2"/>
  <c r="P59" i="2"/>
  <c r="O59" i="2"/>
  <c r="O29" i="2"/>
  <c r="P29" i="2"/>
  <c r="P9" i="2"/>
  <c r="O9" i="2"/>
  <c r="P98" i="2"/>
  <c r="O98" i="2"/>
  <c r="O93" i="2"/>
  <c r="P93" i="2"/>
  <c r="P83" i="2"/>
  <c r="O83" i="2"/>
  <c r="P73" i="2"/>
  <c r="O73" i="2"/>
  <c r="P63" i="2"/>
  <c r="O63" i="2"/>
  <c r="P53" i="2"/>
  <c r="O53" i="2"/>
  <c r="P43" i="2"/>
  <c r="O43" i="2"/>
  <c r="P33" i="2"/>
  <c r="O33" i="2"/>
  <c r="P23" i="2"/>
  <c r="O23" i="2"/>
  <c r="P13" i="2"/>
  <c r="O13" i="2"/>
  <c r="P3" i="2"/>
  <c r="O3" i="2"/>
  <c r="X2" i="2"/>
  <c r="P2" i="2"/>
  <c r="O2" i="2"/>
  <c r="U2" i="2"/>
  <c r="V2" i="2"/>
  <c r="O92" i="2"/>
  <c r="P92" i="2"/>
  <c r="O82" i="2"/>
  <c r="P82" i="2"/>
  <c r="O72" i="2"/>
  <c r="P72" i="2"/>
  <c r="P62" i="2"/>
  <c r="O62" i="2"/>
  <c r="O52" i="2"/>
  <c r="P52" i="2"/>
  <c r="O42" i="2"/>
  <c r="P42" i="2"/>
  <c r="P32" i="2"/>
  <c r="O32" i="2"/>
  <c r="P22" i="2"/>
  <c r="O22" i="2"/>
  <c r="P12" i="2"/>
  <c r="O12" i="2"/>
  <c r="O51" i="2"/>
  <c r="P51" i="2"/>
  <c r="P11" i="2"/>
  <c r="O11" i="2"/>
  <c r="P71" i="2"/>
  <c r="O71" i="2"/>
  <c r="O80" i="2"/>
  <c r="P80" i="2"/>
  <c r="P101" i="2"/>
  <c r="O101" i="2"/>
  <c r="P91" i="2"/>
  <c r="O91" i="2"/>
  <c r="O81" i="2"/>
  <c r="P81" i="2"/>
  <c r="P61" i="2"/>
  <c r="O61" i="2"/>
  <c r="P41" i="2"/>
  <c r="O41" i="2"/>
  <c r="P21" i="2"/>
  <c r="O21" i="2"/>
  <c r="O70" i="2"/>
  <c r="P70" i="2"/>
  <c r="O40" i="2"/>
  <c r="P40" i="2"/>
  <c r="O99" i="2"/>
  <c r="P99" i="2"/>
  <c r="P50" i="2"/>
  <c r="O50" i="2"/>
  <c r="O31" i="2"/>
  <c r="P31" i="2"/>
  <c r="O100" i="2"/>
  <c r="P100" i="2"/>
  <c r="O30" i="2"/>
  <c r="P30" i="2"/>
  <c r="P10" i="2"/>
  <c r="O10" i="2"/>
  <c r="P79" i="2"/>
  <c r="O79" i="2"/>
  <c r="P49" i="2"/>
  <c r="O49" i="2"/>
  <c r="P39" i="2"/>
  <c r="O39" i="2"/>
  <c r="O19" i="2"/>
  <c r="P19" i="2"/>
  <c r="O68" i="2"/>
  <c r="P68" i="2"/>
  <c r="O38" i="2"/>
  <c r="P38" i="2"/>
  <c r="P8" i="2"/>
  <c r="O8" i="2"/>
  <c r="O96" i="2"/>
  <c r="P96" i="2"/>
  <c r="O86" i="2"/>
  <c r="P86" i="2"/>
  <c r="O76" i="2"/>
  <c r="P76" i="2"/>
  <c r="O66" i="2"/>
  <c r="P66" i="2"/>
  <c r="O56" i="2"/>
  <c r="P56" i="2"/>
  <c r="O46" i="2"/>
  <c r="P46" i="2"/>
  <c r="O36" i="2"/>
  <c r="P36" i="2"/>
  <c r="O26" i="2"/>
  <c r="P26" i="2"/>
  <c r="O16" i="2"/>
  <c r="P16" i="2"/>
  <c r="O6" i="2"/>
  <c r="P6" i="2"/>
  <c r="P60" i="2"/>
  <c r="O60" i="2"/>
  <c r="O88" i="2"/>
  <c r="P88" i="2"/>
  <c r="P58" i="2"/>
  <c r="O58" i="2"/>
  <c r="O48" i="2"/>
  <c r="P48" i="2"/>
  <c r="O28" i="2"/>
  <c r="P28" i="2"/>
  <c r="P97" i="2"/>
  <c r="O97" i="2"/>
  <c r="O87" i="2"/>
  <c r="P87" i="2"/>
  <c r="O77" i="2"/>
  <c r="P77" i="2"/>
  <c r="O67" i="2"/>
  <c r="P67" i="2"/>
  <c r="O57" i="2"/>
  <c r="P57" i="2"/>
  <c r="O47" i="2"/>
  <c r="P47" i="2"/>
  <c r="O37" i="2"/>
  <c r="P37" i="2"/>
  <c r="O27" i="2"/>
  <c r="P27" i="2"/>
  <c r="O17" i="2"/>
  <c r="P17" i="2"/>
  <c r="O7" i="2"/>
  <c r="P7" i="2"/>
  <c r="P95" i="2"/>
  <c r="O95" i="2"/>
  <c r="P85" i="2"/>
  <c r="O85" i="2"/>
  <c r="P75" i="2"/>
  <c r="O75" i="2"/>
  <c r="P65" i="2"/>
  <c r="O65" i="2"/>
  <c r="P55" i="2"/>
  <c r="O55" i="2"/>
  <c r="P45" i="2"/>
  <c r="O45" i="2"/>
  <c r="P35" i="2"/>
  <c r="O35" i="2"/>
  <c r="P25" i="2"/>
  <c r="O25" i="2"/>
  <c r="P15" i="2"/>
  <c r="O15" i="2"/>
  <c r="P5" i="2"/>
  <c r="O5" i="2"/>
  <c r="P78" i="2"/>
  <c r="O78" i="2"/>
  <c r="O18" i="2"/>
  <c r="P18" i="2"/>
  <c r="P94" i="2"/>
  <c r="O94" i="2"/>
  <c r="O84" i="2"/>
  <c r="P84" i="2"/>
  <c r="P74" i="2"/>
  <c r="O74" i="2"/>
  <c r="P64" i="2"/>
  <c r="O64" i="2"/>
  <c r="O54" i="2"/>
  <c r="P54" i="2"/>
  <c r="P44" i="2"/>
  <c r="O44" i="2"/>
  <c r="P34" i="2"/>
  <c r="O34" i="2"/>
  <c r="P24" i="2"/>
  <c r="O24" i="2"/>
  <c r="O14" i="2"/>
  <c r="P14" i="2"/>
  <c r="O4" i="2"/>
  <c r="P4" i="2"/>
  <c r="K6" i="2"/>
  <c r="L6" i="2" s="1"/>
  <c r="K7" i="2"/>
  <c r="L7" i="2" s="1"/>
  <c r="K24" i="2"/>
  <c r="L24" i="2" s="1"/>
  <c r="K14" i="2"/>
  <c r="L14" i="2" s="1"/>
  <c r="K12" i="2"/>
  <c r="L12" i="2" s="1"/>
  <c r="R12" i="2" s="1"/>
  <c r="T12" i="2" s="1"/>
  <c r="Y12" i="2" s="1"/>
  <c r="Z12" i="2" s="1"/>
  <c r="K11" i="2"/>
  <c r="L11" i="2" s="1"/>
  <c r="K9" i="2"/>
  <c r="L9" i="2" s="1"/>
  <c r="R9" i="2" s="1"/>
  <c r="T9" i="2" s="1"/>
  <c r="Y9" i="2" s="1"/>
  <c r="Z9" i="2" s="1"/>
  <c r="K8" i="2"/>
  <c r="L8" i="2" s="1"/>
  <c r="K13" i="2"/>
  <c r="L13" i="2" s="1"/>
  <c r="K2" i="2"/>
  <c r="L2" i="2" s="1"/>
  <c r="R24" i="2" l="1"/>
  <c r="T24" i="2" s="1"/>
  <c r="Y24" i="2" s="1"/>
  <c r="Z24" i="2" s="1"/>
  <c r="R13" i="2"/>
  <c r="T13" i="2" s="1"/>
  <c r="Y13" i="2" s="1"/>
  <c r="Z13" i="2" s="1"/>
  <c r="R11" i="2"/>
  <c r="T11" i="2" s="1"/>
  <c r="Y11" i="2" s="1"/>
  <c r="Z11" i="2" s="1"/>
  <c r="R14" i="2"/>
  <c r="T14" i="2" s="1"/>
  <c r="Y14" i="2" s="1"/>
  <c r="Z14" i="2" s="1"/>
  <c r="R7" i="2"/>
  <c r="T7" i="2" s="1"/>
  <c r="Y7" i="2" s="1"/>
  <c r="Z7" i="2" s="1"/>
  <c r="R6" i="2"/>
  <c r="T6" i="2" s="1"/>
  <c r="Y6" i="2" s="1"/>
  <c r="Z6" i="2" s="1"/>
  <c r="R8" i="2"/>
  <c r="T8" i="2" s="1"/>
  <c r="Y8" i="2" s="1"/>
  <c r="Z8" i="2" s="1"/>
  <c r="K5" i="2"/>
  <c r="L5" i="2" s="1"/>
  <c r="R5" i="2" s="1"/>
  <c r="T5" i="2" s="1"/>
  <c r="Y5" i="2" s="1"/>
  <c r="Z5" i="2" s="1"/>
  <c r="K23" i="2"/>
  <c r="L23" i="2" s="1"/>
  <c r="R23" i="2" s="1"/>
  <c r="T23" i="2" s="1"/>
  <c r="Y23" i="2" s="1"/>
  <c r="Z23" i="2" s="1"/>
  <c r="K4" i="2"/>
  <c r="L4" i="2" s="1"/>
  <c r="R4" i="2" s="1"/>
  <c r="T4" i="2" s="1"/>
  <c r="Y4" i="2" s="1"/>
  <c r="Z4" i="2" s="1"/>
  <c r="K15" i="2"/>
  <c r="L15" i="2" s="1"/>
  <c r="R15" i="2" s="1"/>
  <c r="T15" i="2" s="1"/>
  <c r="Y15" i="2" s="1"/>
  <c r="Z15" i="2" s="1"/>
  <c r="K17" i="2"/>
  <c r="L17" i="2" s="1"/>
  <c r="R17" i="2" s="1"/>
  <c r="T17" i="2" s="1"/>
  <c r="Y17" i="2" s="1"/>
  <c r="Z17" i="2" s="1"/>
  <c r="K22" i="2"/>
  <c r="L22" i="2" s="1"/>
  <c r="R22" i="2" s="1"/>
  <c r="T22" i="2" s="1"/>
  <c r="Y22" i="2" s="1"/>
  <c r="Z22" i="2" s="1"/>
  <c r="K19" i="2"/>
  <c r="L19" i="2" s="1"/>
  <c r="R19" i="2" s="1"/>
  <c r="T19" i="2" s="1"/>
  <c r="Y19" i="2" s="1"/>
  <c r="Z19" i="2" s="1"/>
  <c r="K20" i="2"/>
  <c r="L20" i="2" s="1"/>
  <c r="R20" i="2" s="1"/>
  <c r="T20" i="2" s="1"/>
  <c r="Y20" i="2" s="1"/>
  <c r="Z20" i="2" s="1"/>
  <c r="K16" i="2"/>
  <c r="L16" i="2" s="1"/>
  <c r="R16" i="2" s="1"/>
  <c r="T16" i="2" s="1"/>
  <c r="Y16" i="2" s="1"/>
  <c r="Z16" i="2" s="1"/>
  <c r="K10" i="2"/>
  <c r="L10" i="2" s="1"/>
  <c r="R10" i="2" s="1"/>
  <c r="T10" i="2" s="1"/>
  <c r="Y10" i="2" s="1"/>
  <c r="Z10" i="2" s="1"/>
  <c r="K21" i="2"/>
  <c r="L21" i="2" s="1"/>
  <c r="R21" i="2" s="1"/>
  <c r="T21" i="2" s="1"/>
  <c r="Y21" i="2" s="1"/>
  <c r="Z21" i="2" s="1"/>
  <c r="K18" i="2"/>
  <c r="L18" i="2" s="1"/>
  <c r="R18" i="2" s="1"/>
  <c r="T18" i="2" s="1"/>
  <c r="Y18" i="2" s="1"/>
  <c r="Z18" i="2" s="1"/>
  <c r="K3" i="2"/>
  <c r="L3" i="2" s="1"/>
  <c r="R3" i="2" s="1"/>
  <c r="T3" i="2" s="1"/>
  <c r="Y3" i="2" s="1"/>
  <c r="Z3" i="2" s="1"/>
  <c r="R2" i="2" l="1"/>
  <c r="Q19" i="2" l="1"/>
  <c r="S19" i="2" s="1"/>
  <c r="T2" i="2"/>
  <c r="W2" i="2" s="1"/>
  <c r="K84" i="2"/>
  <c r="L84" i="2" s="1"/>
  <c r="R84" i="2" s="1"/>
  <c r="T84" i="2" s="1"/>
  <c r="Y84" i="2" s="1"/>
  <c r="Z84" i="2" s="1"/>
  <c r="K55" i="2"/>
  <c r="L55" i="2" s="1"/>
  <c r="R55" i="2" s="1"/>
  <c r="T55" i="2" s="1"/>
  <c r="Y55" i="2" s="1"/>
  <c r="Z55" i="2" s="1"/>
  <c r="K77" i="2"/>
  <c r="L77" i="2" s="1"/>
  <c r="R77" i="2" s="1"/>
  <c r="T77" i="2" s="1"/>
  <c r="Y77" i="2" s="1"/>
  <c r="Z77" i="2" s="1"/>
  <c r="K49" i="2"/>
  <c r="L49" i="2" s="1"/>
  <c r="R49" i="2" s="1"/>
  <c r="T49" i="2" s="1"/>
  <c r="Y49" i="2" s="1"/>
  <c r="Z49" i="2" s="1"/>
  <c r="K94" i="2"/>
  <c r="L94" i="2" s="1"/>
  <c r="R94" i="2" s="1"/>
  <c r="T94" i="2" s="1"/>
  <c r="Y94" i="2" s="1"/>
  <c r="Z94" i="2" s="1"/>
  <c r="K46" i="2"/>
  <c r="L46" i="2" s="1"/>
  <c r="R46" i="2" s="1"/>
  <c r="T46" i="2" s="1"/>
  <c r="Y46" i="2" s="1"/>
  <c r="Z46" i="2" s="1"/>
  <c r="K87" i="2"/>
  <c r="L87" i="2" s="1"/>
  <c r="R87" i="2" s="1"/>
  <c r="T87" i="2" s="1"/>
  <c r="Y87" i="2" s="1"/>
  <c r="Z87" i="2" s="1"/>
  <c r="K97" i="2"/>
  <c r="L97" i="2" s="1"/>
  <c r="R97" i="2" s="1"/>
  <c r="T97" i="2" s="1"/>
  <c r="Y97" i="2" s="1"/>
  <c r="Z97" i="2" s="1"/>
  <c r="K95" i="2"/>
  <c r="L95" i="2" s="1"/>
  <c r="R95" i="2" s="1"/>
  <c r="T95" i="2" s="1"/>
  <c r="Y95" i="2" s="1"/>
  <c r="Z95" i="2" s="1"/>
  <c r="K96" i="2"/>
  <c r="L96" i="2" s="1"/>
  <c r="R96" i="2" s="1"/>
  <c r="T96" i="2" s="1"/>
  <c r="Y96" i="2" s="1"/>
  <c r="Z96" i="2" s="1"/>
  <c r="K75" i="2"/>
  <c r="L75" i="2" s="1"/>
  <c r="R75" i="2" s="1"/>
  <c r="T75" i="2" s="1"/>
  <c r="Y75" i="2" s="1"/>
  <c r="Z75" i="2" s="1"/>
  <c r="K85" i="2"/>
  <c r="L85" i="2" s="1"/>
  <c r="R85" i="2" s="1"/>
  <c r="T85" i="2" s="1"/>
  <c r="Y85" i="2" s="1"/>
  <c r="Z85" i="2" s="1"/>
  <c r="K38" i="2"/>
  <c r="L38" i="2" s="1"/>
  <c r="R38" i="2" s="1"/>
  <c r="T38" i="2" s="1"/>
  <c r="Y38" i="2" s="1"/>
  <c r="Z38" i="2" s="1"/>
  <c r="K76" i="2"/>
  <c r="L76" i="2" s="1"/>
  <c r="R76" i="2" s="1"/>
  <c r="T76" i="2" s="1"/>
  <c r="Y76" i="2" s="1"/>
  <c r="Z76" i="2" s="1"/>
  <c r="K48" i="2"/>
  <c r="L48" i="2" s="1"/>
  <c r="R48" i="2" s="1"/>
  <c r="T48" i="2" s="1"/>
  <c r="Y48" i="2" s="1"/>
  <c r="Z48" i="2" s="1"/>
  <c r="K45" i="2"/>
  <c r="L45" i="2" s="1"/>
  <c r="R45" i="2" s="1"/>
  <c r="T45" i="2" s="1"/>
  <c r="Y45" i="2" s="1"/>
  <c r="Z45" i="2" s="1"/>
  <c r="K86" i="2"/>
  <c r="L86" i="2" s="1"/>
  <c r="R86" i="2" s="1"/>
  <c r="T86" i="2" s="1"/>
  <c r="Y86" i="2" s="1"/>
  <c r="Z86" i="2" s="1"/>
  <c r="K35" i="2"/>
  <c r="L35" i="2" s="1"/>
  <c r="R35" i="2" s="1"/>
  <c r="T35" i="2" s="1"/>
  <c r="Y35" i="2" s="1"/>
  <c r="Z35" i="2" s="1"/>
  <c r="K26" i="2"/>
  <c r="L26" i="2" s="1"/>
  <c r="R26" i="2" s="1"/>
  <c r="T26" i="2" s="1"/>
  <c r="Y26" i="2" s="1"/>
  <c r="Z26" i="2" s="1"/>
  <c r="K100" i="2"/>
  <c r="L100" i="2" s="1"/>
  <c r="R100" i="2" s="1"/>
  <c r="T100" i="2" s="1"/>
  <c r="Y100" i="2" s="1"/>
  <c r="Z100" i="2" s="1"/>
  <c r="K99" i="2"/>
  <c r="L99" i="2" s="1"/>
  <c r="R99" i="2" s="1"/>
  <c r="T99" i="2" s="1"/>
  <c r="Y99" i="2" s="1"/>
  <c r="Z99" i="2" s="1"/>
  <c r="K89" i="2"/>
  <c r="L89" i="2" s="1"/>
  <c r="R89" i="2" s="1"/>
  <c r="T89" i="2" s="1"/>
  <c r="Y89" i="2" s="1"/>
  <c r="Z89" i="2" s="1"/>
  <c r="K88" i="2"/>
  <c r="L88" i="2" s="1"/>
  <c r="R88" i="2" s="1"/>
  <c r="T88" i="2" s="1"/>
  <c r="Y88" i="2" s="1"/>
  <c r="Z88" i="2" s="1"/>
  <c r="K83" i="2"/>
  <c r="L83" i="2" s="1"/>
  <c r="R83" i="2" s="1"/>
  <c r="T83" i="2" s="1"/>
  <c r="Y83" i="2" s="1"/>
  <c r="Z83" i="2" s="1"/>
  <c r="K93" i="2"/>
  <c r="L93" i="2" s="1"/>
  <c r="R93" i="2" s="1"/>
  <c r="T93" i="2" s="1"/>
  <c r="Y93" i="2" s="1"/>
  <c r="Z93" i="2" s="1"/>
  <c r="K78" i="2"/>
  <c r="L78" i="2" s="1"/>
  <c r="R78" i="2" s="1"/>
  <c r="T78" i="2" s="1"/>
  <c r="Y78" i="2" s="1"/>
  <c r="Z78" i="2" s="1"/>
  <c r="K98" i="2"/>
  <c r="L98" i="2" s="1"/>
  <c r="R98" i="2" s="1"/>
  <c r="T98" i="2" s="1"/>
  <c r="Y98" i="2" s="1"/>
  <c r="Z98" i="2" s="1"/>
  <c r="K32" i="2"/>
  <c r="L32" i="2" s="1"/>
  <c r="R32" i="2" s="1"/>
  <c r="T32" i="2" s="1"/>
  <c r="Y32" i="2" s="1"/>
  <c r="Z32" i="2" s="1"/>
  <c r="K82" i="2"/>
  <c r="L82" i="2" s="1"/>
  <c r="R82" i="2" s="1"/>
  <c r="T82" i="2" s="1"/>
  <c r="Y82" i="2" s="1"/>
  <c r="Z82" i="2" s="1"/>
  <c r="K79" i="2"/>
  <c r="L79" i="2" s="1"/>
  <c r="R79" i="2" s="1"/>
  <c r="T79" i="2" s="1"/>
  <c r="Y79" i="2" s="1"/>
  <c r="Z79" i="2" s="1"/>
  <c r="K92" i="2"/>
  <c r="L92" i="2" s="1"/>
  <c r="R92" i="2" s="1"/>
  <c r="T92" i="2" s="1"/>
  <c r="Y92" i="2" s="1"/>
  <c r="Z92" i="2" s="1"/>
  <c r="K29" i="2"/>
  <c r="L29" i="2" s="1"/>
  <c r="R29" i="2" s="1"/>
  <c r="T29" i="2" s="1"/>
  <c r="Y29" i="2" s="1"/>
  <c r="Z29" i="2" s="1"/>
  <c r="K61" i="2"/>
  <c r="L61" i="2" s="1"/>
  <c r="R61" i="2" s="1"/>
  <c r="T61" i="2" s="1"/>
  <c r="Y61" i="2" s="1"/>
  <c r="Z61" i="2" s="1"/>
  <c r="K36" i="2"/>
  <c r="L36" i="2" s="1"/>
  <c r="R36" i="2" s="1"/>
  <c r="T36" i="2" s="1"/>
  <c r="Y36" i="2" s="1"/>
  <c r="Z36" i="2" s="1"/>
  <c r="K80" i="2"/>
  <c r="L80" i="2" s="1"/>
  <c r="R80" i="2" s="1"/>
  <c r="T80" i="2" s="1"/>
  <c r="Y80" i="2" s="1"/>
  <c r="Z80" i="2" s="1"/>
  <c r="K27" i="2"/>
  <c r="L27" i="2" s="1"/>
  <c r="R27" i="2" s="1"/>
  <c r="T27" i="2" s="1"/>
  <c r="Y27" i="2" s="1"/>
  <c r="Z27" i="2" s="1"/>
  <c r="K90" i="2"/>
  <c r="L90" i="2" s="1"/>
  <c r="R90" i="2" s="1"/>
  <c r="T90" i="2" s="1"/>
  <c r="Y90" i="2" s="1"/>
  <c r="Z90" i="2" s="1"/>
  <c r="K65" i="2"/>
  <c r="L65" i="2" s="1"/>
  <c r="R65" i="2" s="1"/>
  <c r="T65" i="2" s="1"/>
  <c r="Y65" i="2" s="1"/>
  <c r="Z65" i="2" s="1"/>
  <c r="K63" i="2"/>
  <c r="L63" i="2" s="1"/>
  <c r="R63" i="2" s="1"/>
  <c r="T63" i="2" s="1"/>
  <c r="Y63" i="2" s="1"/>
  <c r="Z63" i="2" s="1"/>
  <c r="K71" i="2"/>
  <c r="L71" i="2" s="1"/>
  <c r="R71" i="2" s="1"/>
  <c r="T71" i="2" s="1"/>
  <c r="Y71" i="2" s="1"/>
  <c r="Z71" i="2" s="1"/>
  <c r="K68" i="2"/>
  <c r="L68" i="2" s="1"/>
  <c r="R68" i="2" s="1"/>
  <c r="T68" i="2" s="1"/>
  <c r="Y68" i="2" s="1"/>
  <c r="Z68" i="2" s="1"/>
  <c r="K56" i="2"/>
  <c r="L56" i="2" s="1"/>
  <c r="R56" i="2" s="1"/>
  <c r="T56" i="2" s="1"/>
  <c r="Y56" i="2" s="1"/>
  <c r="Z56" i="2" s="1"/>
  <c r="K91" i="2"/>
  <c r="L91" i="2" s="1"/>
  <c r="R91" i="2" s="1"/>
  <c r="T91" i="2" s="1"/>
  <c r="Y91" i="2" s="1"/>
  <c r="Z91" i="2" s="1"/>
  <c r="K72" i="2"/>
  <c r="L72" i="2" s="1"/>
  <c r="R72" i="2" s="1"/>
  <c r="T72" i="2" s="1"/>
  <c r="Y72" i="2" s="1"/>
  <c r="Z72" i="2" s="1"/>
  <c r="K54" i="2"/>
  <c r="L54" i="2" s="1"/>
  <c r="R54" i="2" s="1"/>
  <c r="T54" i="2" s="1"/>
  <c r="Y54" i="2" s="1"/>
  <c r="Z54" i="2" s="1"/>
  <c r="K25" i="2"/>
  <c r="L25" i="2" s="1"/>
  <c r="R25" i="2" s="1"/>
  <c r="T25" i="2" s="1"/>
  <c r="Y25" i="2" s="1"/>
  <c r="Z25" i="2" s="1"/>
  <c r="K69" i="2"/>
  <c r="L69" i="2" s="1"/>
  <c r="R69" i="2" s="1"/>
  <c r="T69" i="2" s="1"/>
  <c r="Y69" i="2" s="1"/>
  <c r="Z69" i="2" s="1"/>
  <c r="K66" i="2"/>
  <c r="L66" i="2" s="1"/>
  <c r="R66" i="2" s="1"/>
  <c r="T66" i="2" s="1"/>
  <c r="Y66" i="2" s="1"/>
  <c r="Z66" i="2" s="1"/>
  <c r="K73" i="2"/>
  <c r="L73" i="2" s="1"/>
  <c r="R73" i="2" s="1"/>
  <c r="T73" i="2" s="1"/>
  <c r="Y73" i="2" s="1"/>
  <c r="Z73" i="2" s="1"/>
  <c r="K64" i="2"/>
  <c r="L64" i="2" s="1"/>
  <c r="R64" i="2" s="1"/>
  <c r="T64" i="2" s="1"/>
  <c r="Y64" i="2" s="1"/>
  <c r="Z64" i="2" s="1"/>
  <c r="K57" i="2"/>
  <c r="L57" i="2" s="1"/>
  <c r="R57" i="2" s="1"/>
  <c r="T57" i="2" s="1"/>
  <c r="Y57" i="2" s="1"/>
  <c r="Z57" i="2" s="1"/>
  <c r="K70" i="2"/>
  <c r="L70" i="2" s="1"/>
  <c r="R70" i="2" s="1"/>
  <c r="T70" i="2" s="1"/>
  <c r="Y70" i="2" s="1"/>
  <c r="Z70" i="2" s="1"/>
  <c r="K67" i="2"/>
  <c r="L67" i="2" s="1"/>
  <c r="R67" i="2" s="1"/>
  <c r="T67" i="2" s="1"/>
  <c r="Y67" i="2" s="1"/>
  <c r="Z67" i="2" s="1"/>
  <c r="K58" i="2"/>
  <c r="L58" i="2" s="1"/>
  <c r="R58" i="2" s="1"/>
  <c r="T58" i="2" s="1"/>
  <c r="Y58" i="2" s="1"/>
  <c r="Z58" i="2" s="1"/>
  <c r="K52" i="2"/>
  <c r="L52" i="2" s="1"/>
  <c r="R52" i="2" s="1"/>
  <c r="T52" i="2" s="1"/>
  <c r="Y52" i="2" s="1"/>
  <c r="Z52" i="2" s="1"/>
  <c r="K62" i="2"/>
  <c r="L62" i="2" s="1"/>
  <c r="R62" i="2" s="1"/>
  <c r="T62" i="2" s="1"/>
  <c r="Y62" i="2" s="1"/>
  <c r="Z62" i="2" s="1"/>
  <c r="K59" i="2"/>
  <c r="L59" i="2" s="1"/>
  <c r="R59" i="2" s="1"/>
  <c r="T59" i="2" s="1"/>
  <c r="Y59" i="2" s="1"/>
  <c r="Z59" i="2" s="1"/>
  <c r="K47" i="2"/>
  <c r="L47" i="2" s="1"/>
  <c r="R47" i="2" s="1"/>
  <c r="T47" i="2" s="1"/>
  <c r="Y47" i="2" s="1"/>
  <c r="Z47" i="2" s="1"/>
  <c r="K41" i="2"/>
  <c r="L41" i="2" s="1"/>
  <c r="R41" i="2" s="1"/>
  <c r="T41" i="2" s="1"/>
  <c r="Y41" i="2" s="1"/>
  <c r="Z41" i="2" s="1"/>
  <c r="K101" i="2"/>
  <c r="L101" i="2" s="1"/>
  <c r="R101" i="2" s="1"/>
  <c r="T101" i="2" s="1"/>
  <c r="Y101" i="2" s="1"/>
  <c r="Z101" i="2" s="1"/>
  <c r="K60" i="2"/>
  <c r="L60" i="2" s="1"/>
  <c r="R60" i="2" s="1"/>
  <c r="T60" i="2" s="1"/>
  <c r="Y60" i="2" s="1"/>
  <c r="Z60" i="2" s="1"/>
  <c r="K51" i="2"/>
  <c r="L51" i="2" s="1"/>
  <c r="R51" i="2" s="1"/>
  <c r="T51" i="2" s="1"/>
  <c r="Y51" i="2" s="1"/>
  <c r="Z51" i="2" s="1"/>
  <c r="K42" i="2"/>
  <c r="L42" i="2" s="1"/>
  <c r="R42" i="2" s="1"/>
  <c r="T42" i="2" s="1"/>
  <c r="Y42" i="2" s="1"/>
  <c r="Z42" i="2" s="1"/>
  <c r="K33" i="2"/>
  <c r="L33" i="2" s="1"/>
  <c r="R33" i="2" s="1"/>
  <c r="T33" i="2" s="1"/>
  <c r="Y33" i="2" s="1"/>
  <c r="Z33" i="2" s="1"/>
  <c r="K74" i="2"/>
  <c r="L74" i="2" s="1"/>
  <c r="R74" i="2" s="1"/>
  <c r="T74" i="2" s="1"/>
  <c r="Y74" i="2" s="1"/>
  <c r="Z74" i="2" s="1"/>
  <c r="K39" i="2"/>
  <c r="L39" i="2" s="1"/>
  <c r="R39" i="2" s="1"/>
  <c r="T39" i="2" s="1"/>
  <c r="Y39" i="2" s="1"/>
  <c r="Z39" i="2" s="1"/>
  <c r="K30" i="2"/>
  <c r="L30" i="2" s="1"/>
  <c r="R30" i="2" s="1"/>
  <c r="T30" i="2" s="1"/>
  <c r="Y30" i="2" s="1"/>
  <c r="Z30" i="2" s="1"/>
  <c r="K43" i="2"/>
  <c r="L43" i="2" s="1"/>
  <c r="R43" i="2" s="1"/>
  <c r="T43" i="2" s="1"/>
  <c r="Y43" i="2" s="1"/>
  <c r="Z43" i="2" s="1"/>
  <c r="K34" i="2"/>
  <c r="L34" i="2" s="1"/>
  <c r="R34" i="2" s="1"/>
  <c r="T34" i="2" s="1"/>
  <c r="Y34" i="2" s="1"/>
  <c r="Z34" i="2" s="1"/>
  <c r="K40" i="2"/>
  <c r="L40" i="2" s="1"/>
  <c r="R40" i="2" s="1"/>
  <c r="T40" i="2" s="1"/>
  <c r="Y40" i="2" s="1"/>
  <c r="Z40" i="2" s="1"/>
  <c r="K53" i="2"/>
  <c r="L53" i="2" s="1"/>
  <c r="R53" i="2" s="1"/>
  <c r="T53" i="2" s="1"/>
  <c r="Y53" i="2" s="1"/>
  <c r="Z53" i="2" s="1"/>
  <c r="K44" i="2"/>
  <c r="L44" i="2" s="1"/>
  <c r="R44" i="2" s="1"/>
  <c r="T44" i="2" s="1"/>
  <c r="Y44" i="2" s="1"/>
  <c r="Z44" i="2" s="1"/>
  <c r="K37" i="2"/>
  <c r="L37" i="2" s="1"/>
  <c r="R37" i="2" s="1"/>
  <c r="T37" i="2" s="1"/>
  <c r="Y37" i="2" s="1"/>
  <c r="Z37" i="2" s="1"/>
  <c r="K31" i="2"/>
  <c r="L31" i="2" s="1"/>
  <c r="R31" i="2" s="1"/>
  <c r="T31" i="2" s="1"/>
  <c r="Y31" i="2" s="1"/>
  <c r="Z31" i="2" s="1"/>
  <c r="K81" i="2"/>
  <c r="L81" i="2" s="1"/>
  <c r="R81" i="2" s="1"/>
  <c r="T81" i="2" s="1"/>
  <c r="Y81" i="2" s="1"/>
  <c r="Z81" i="2" s="1"/>
  <c r="K28" i="2"/>
  <c r="L28" i="2" s="1"/>
  <c r="R28" i="2" s="1"/>
  <c r="T28" i="2" s="1"/>
  <c r="Y28" i="2" s="1"/>
  <c r="Z28" i="2" s="1"/>
  <c r="K50" i="2"/>
  <c r="L50" i="2" s="1"/>
  <c r="R50" i="2" s="1"/>
  <c r="T50" i="2" s="1"/>
  <c r="Y50" i="2" s="1"/>
  <c r="Z50" i="2" s="1"/>
  <c r="Q22" i="2" l="1"/>
  <c r="S22" i="2" s="1"/>
  <c r="Q23" i="2"/>
  <c r="S23" i="2" s="1"/>
  <c r="Q20" i="2"/>
  <c r="S20" i="2" s="1"/>
  <c r="Q21" i="2"/>
  <c r="S21" i="2" s="1"/>
  <c r="Q24" i="2"/>
  <c r="S24" i="2" s="1"/>
  <c r="Q9" i="2"/>
  <c r="S9" i="2" s="1"/>
  <c r="Q11" i="2"/>
  <c r="S11" i="2" s="1"/>
  <c r="Q14" i="2"/>
  <c r="S14" i="2" s="1"/>
  <c r="Q12" i="2"/>
  <c r="S12" i="2" s="1"/>
  <c r="Q13" i="2"/>
  <c r="S13" i="2" s="1"/>
  <c r="Q10" i="2"/>
  <c r="S10" i="2" s="1"/>
  <c r="Q7" i="2"/>
  <c r="S7" i="2" s="1"/>
  <c r="Q18" i="2"/>
  <c r="S18" i="2" s="1"/>
  <c r="Q15" i="2"/>
  <c r="S15" i="2" s="1"/>
  <c r="Q2" i="2"/>
  <c r="S2" i="2" s="1"/>
  <c r="Y2" i="2"/>
  <c r="Z2" i="2" s="1"/>
  <c r="Q34" i="2"/>
  <c r="S34" i="2" s="1"/>
  <c r="Q41" i="2"/>
  <c r="S41" i="2" s="1"/>
  <c r="Q56" i="2"/>
  <c r="S56" i="2" s="1"/>
  <c r="Q92" i="2"/>
  <c r="S92" i="2" s="1"/>
  <c r="Q89" i="2"/>
  <c r="S89" i="2" s="1"/>
  <c r="Q35" i="2"/>
  <c r="S35" i="2" s="1"/>
  <c r="Q96" i="2"/>
  <c r="S96" i="2" s="1"/>
  <c r="Q95" i="2"/>
  <c r="S95" i="2" s="1"/>
  <c r="Q64" i="2"/>
  <c r="S64" i="2" s="1"/>
  <c r="Q50" i="2"/>
  <c r="S50" i="2" s="1"/>
  <c r="Q30" i="2"/>
  <c r="S30" i="2" s="1"/>
  <c r="Q73" i="2"/>
  <c r="S73" i="2" s="1"/>
  <c r="Q71" i="2"/>
  <c r="S71" i="2" s="1"/>
  <c r="Q80" i="2"/>
  <c r="S80" i="2" s="1"/>
  <c r="Q97" i="2"/>
  <c r="S97" i="2" s="1"/>
  <c r="Q43" i="2"/>
  <c r="S43" i="2" s="1"/>
  <c r="Q99" i="2"/>
  <c r="S99" i="2" s="1"/>
  <c r="Q86" i="2"/>
  <c r="S86" i="2" s="1"/>
  <c r="Q87" i="2"/>
  <c r="S87" i="2" s="1"/>
  <c r="Q36" i="2"/>
  <c r="S36" i="2" s="1"/>
  <c r="Q81" i="2"/>
  <c r="S81" i="2" s="1"/>
  <c r="Q74" i="2"/>
  <c r="S74" i="2" s="1"/>
  <c r="Q62" i="2"/>
  <c r="S62" i="2" s="1"/>
  <c r="Q69" i="2"/>
  <c r="S69" i="2" s="1"/>
  <c r="Q65" i="2"/>
  <c r="S65" i="2" s="1"/>
  <c r="Q100" i="2"/>
  <c r="S100" i="2" s="1"/>
  <c r="Q45" i="2"/>
  <c r="S45" i="2" s="1"/>
  <c r="Q46" i="2"/>
  <c r="S46" i="2" s="1"/>
  <c r="Q39" i="2"/>
  <c r="S39" i="2" s="1"/>
  <c r="Q31" i="2"/>
  <c r="S31" i="2" s="1"/>
  <c r="Q33" i="2"/>
  <c r="S33" i="2" s="1"/>
  <c r="Q52" i="2"/>
  <c r="S52" i="2" s="1"/>
  <c r="Q82" i="2"/>
  <c r="S82" i="2" s="1"/>
  <c r="Q48" i="2"/>
  <c r="S48" i="2" s="1"/>
  <c r="Q94" i="2"/>
  <c r="S94" i="2" s="1"/>
  <c r="Q79" i="2"/>
  <c r="S79" i="2" s="1"/>
  <c r="Q59" i="2"/>
  <c r="S59" i="2" s="1"/>
  <c r="Q63" i="2"/>
  <c r="S63" i="2" s="1"/>
  <c r="Q37" i="2"/>
  <c r="S37" i="2" s="1"/>
  <c r="Q42" i="2"/>
  <c r="S42" i="2" s="1"/>
  <c r="Q58" i="2"/>
  <c r="S58" i="2" s="1"/>
  <c r="Q61" i="2"/>
  <c r="S61" i="2" s="1"/>
  <c r="Q32" i="2"/>
  <c r="S32" i="2" s="1"/>
  <c r="Q93" i="2"/>
  <c r="S93" i="2" s="1"/>
  <c r="Q76" i="2"/>
  <c r="S76" i="2" s="1"/>
  <c r="Q47" i="2"/>
  <c r="S47" i="2" s="1"/>
  <c r="Q44" i="2"/>
  <c r="S44" i="2" s="1"/>
  <c r="Q51" i="2"/>
  <c r="S51" i="2" s="1"/>
  <c r="Q67" i="2"/>
  <c r="S67" i="2" s="1"/>
  <c r="Q83" i="2"/>
  <c r="S83" i="2" s="1"/>
  <c r="Q38" i="2"/>
  <c r="S38" i="2" s="1"/>
  <c r="Q77" i="2"/>
  <c r="S77" i="2" s="1"/>
  <c r="Q54" i="2"/>
  <c r="S54" i="2" s="1"/>
  <c r="Q98" i="2"/>
  <c r="S98" i="2" s="1"/>
  <c r="Q53" i="2"/>
  <c r="S53" i="2" s="1"/>
  <c r="Q60" i="2"/>
  <c r="S60" i="2" s="1"/>
  <c r="Q70" i="2"/>
  <c r="S70" i="2" s="1"/>
  <c r="Q72" i="2"/>
  <c r="S72" i="2" s="1"/>
  <c r="Q88" i="2"/>
  <c r="S88" i="2" s="1"/>
  <c r="Q85" i="2"/>
  <c r="S85" i="2" s="1"/>
  <c r="Q68" i="2"/>
  <c r="S68" i="2" s="1"/>
  <c r="Q66" i="2"/>
  <c r="S66" i="2" s="1"/>
  <c r="Q40" i="2"/>
  <c r="S40" i="2" s="1"/>
  <c r="Q101" i="2"/>
  <c r="S101" i="2" s="1"/>
  <c r="Q57" i="2"/>
  <c r="S57" i="2" s="1"/>
  <c r="Q91" i="2"/>
  <c r="S91" i="2" s="1"/>
  <c r="Q90" i="2"/>
  <c r="S90" i="2" s="1"/>
  <c r="Q78" i="2"/>
  <c r="S78" i="2" s="1"/>
  <c r="Q75" i="2"/>
  <c r="S75" i="2" s="1"/>
  <c r="Q84" i="2"/>
  <c r="S84" i="2" s="1"/>
  <c r="Q8" i="2" l="1"/>
  <c r="S8" i="2" s="1"/>
  <c r="Q49" i="2"/>
  <c r="S49" i="2" s="1"/>
  <c r="Q55" i="2"/>
  <c r="S55" i="2" s="1"/>
  <c r="Q5" i="2"/>
  <c r="S5" i="2" s="1"/>
  <c r="Q3" i="2"/>
  <c r="S3" i="2" s="1"/>
  <c r="Q29" i="2"/>
  <c r="S29" i="2" s="1"/>
  <c r="Q17" i="2"/>
  <c r="S17" i="2" s="1"/>
  <c r="Q27" i="2"/>
  <c r="S27" i="2" s="1"/>
  <c r="Q4" i="2"/>
  <c r="S4" i="2" s="1"/>
  <c r="Q6" i="2"/>
  <c r="S6" i="2" s="1"/>
  <c r="Q26" i="2"/>
  <c r="S26" i="2" s="1"/>
  <c r="Q25" i="2"/>
  <c r="S25" i="2" s="1"/>
  <c r="Q28" i="2"/>
  <c r="S28" i="2" s="1"/>
  <c r="Q16" i="2"/>
  <c r="S16" i="2" s="1"/>
</calcChain>
</file>

<file path=xl/sharedStrings.xml><?xml version="1.0" encoding="utf-8"?>
<sst xmlns="http://schemas.openxmlformats.org/spreadsheetml/2006/main" count="28" uniqueCount="28">
  <si>
    <t>L</t>
  </si>
  <si>
    <t>Power</t>
  </si>
  <si>
    <t>Beta</t>
  </si>
  <si>
    <t>Density</t>
  </si>
  <si>
    <t>F_PB</t>
  </si>
  <si>
    <t>W_motor</t>
  </si>
  <si>
    <t>ac_rad</t>
  </si>
  <si>
    <t>m_crank</t>
  </si>
  <si>
    <t>m_link</t>
  </si>
  <si>
    <t>m_tot</t>
  </si>
  <si>
    <t>m_slid</t>
  </si>
  <si>
    <t>slider_y</t>
  </si>
  <si>
    <t>a_cl</t>
  </si>
  <si>
    <t>cross_area</t>
  </si>
  <si>
    <t>offset_e</t>
  </si>
  <si>
    <t>R</t>
  </si>
  <si>
    <t>s_omega</t>
  </si>
  <si>
    <t>s_alpha</t>
  </si>
  <si>
    <t>Fx_s</t>
  </si>
  <si>
    <t>s_inertia</t>
  </si>
  <si>
    <t>Ftotal_s</t>
  </si>
  <si>
    <t>F_cl</t>
  </si>
  <si>
    <t>Fx_cl</t>
  </si>
  <si>
    <t>Fy_cl</t>
  </si>
  <si>
    <t>Ftan_c</t>
  </si>
  <si>
    <t>c_inertia</t>
  </si>
  <si>
    <t>Torque</t>
  </si>
  <si>
    <t>QRR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</si>
</sst>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00000"/>
  </numFmts>
  <fonts count="3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BFFA8"/>
      <color rgb="FFFF94C1"/>
      <color rgb="FFEB8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14FDF-CE64-4048-A8B4-7032B403BE32}">
  <dimension ref="A1:AC111"/>
  <sheetViews>
    <sheetView tabSelected="1" zoomScale="36" workbookViewId="0">
      <selection sqref="A1:AB101"/>
    </sheetView>
  </sheetViews>
  <sheetFormatPr baseColWidth="10" defaultRowHeight="16"/>
  <cols>
    <col min="2" max="2" width="16.33203125" customWidth="1"/>
    <col min="3" max="3" width="15.6640625" customWidth="1"/>
    <col min="4" max="7" width="11" bestFit="1" customWidth="1"/>
    <col min="8" max="8" width="13.6640625" customWidth="1"/>
    <col min="9" max="10" width="11" bestFit="1" customWidth="1"/>
    <col min="11" max="11" width="13.5" customWidth="1"/>
    <col min="12" max="12" width="11.1640625" bestFit="1" customWidth="1"/>
    <col min="13" max="13" width="17.33203125" customWidth="1"/>
    <col min="14" max="14" width="21.33203125" customWidth="1"/>
    <col min="15" max="15" width="11" bestFit="1" customWidth="1"/>
    <col min="16" max="18" width="13.5" customWidth="1"/>
    <col min="19" max="19" width="12.6640625" bestFit="1" customWidth="1"/>
    <col min="20" max="20" width="21.5" customWidth="1"/>
    <col min="21" max="21" width="25.33203125" customWidth="1"/>
    <col min="22" max="22" width="11" bestFit="1" customWidth="1"/>
    <col min="23" max="23" width="11" customWidth="1"/>
    <col min="24" max="24" width="11" bestFit="1" customWidth="1"/>
  </cols>
  <sheetData>
    <row r="1" spans="1:29" s="2" customFormat="1" ht="15">
      <c r="A1" s="2" t="s">
        <v>4</v>
      </c>
      <c r="B1" s="2" t="s">
        <v>3</v>
      </c>
      <c r="C1" s="6" t="s">
        <v>5</v>
      </c>
      <c r="D1" s="6" t="s">
        <v>15</v>
      </c>
      <c r="E1" s="6" t="s">
        <v>0</v>
      </c>
      <c r="F1" s="6" t="s">
        <v>14</v>
      </c>
      <c r="G1" s="6" t="s">
        <v>13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12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7" t="s">
        <v>21</v>
      </c>
      <c r="U1" s="7" t="s">
        <v>22</v>
      </c>
      <c r="V1" s="7" t="s">
        <v>23</v>
      </c>
      <c r="W1" s="7" t="s">
        <v>24</v>
      </c>
      <c r="X1" s="7" t="s">
        <v>25</v>
      </c>
      <c r="Y1" s="7" t="s">
        <v>26</v>
      </c>
      <c r="Z1" s="7" t="s">
        <v>1</v>
      </c>
      <c r="AA1" s="7" t="s">
        <v>2</v>
      </c>
      <c r="AB1" s="7" t="s">
        <v>27</v>
      </c>
      <c r="AC1" s="3"/>
    </row>
    <row r="2" spans="1:29" s="2" customFormat="1" ht="14">
      <c r="A2" s="2">
        <v>110</v>
      </c>
      <c r="B2" s="2">
        <v>2700</v>
      </c>
      <c r="C2" s="2">
        <f>(2*PI()*30/60)</f>
        <v>3.1415926535897927</v>
      </c>
      <c r="D2" s="4">
        <v>0.15945528497463496</v>
      </c>
      <c r="E2" s="4">
        <v>0.62184287863007071</v>
      </c>
      <c r="F2" s="4">
        <v>5.1221836011997979E-2</v>
      </c>
      <c r="G2" s="4">
        <v>3.4276701943697824E-4</v>
      </c>
      <c r="H2" s="3">
        <v>1.1019361518354511</v>
      </c>
      <c r="I2" s="5">
        <f>$G2*$D2*$B2</f>
        <v>0.14757123446341994</v>
      </c>
      <c r="J2" s="5">
        <f>$E2*$G2*$B2</f>
        <v>0.57549752117857789</v>
      </c>
      <c r="K2" s="5">
        <f>$I2+$J2</f>
        <v>0.7230687556419978</v>
      </c>
      <c r="L2" s="5">
        <f>0.2*$K2</f>
        <v>0.14461375112839955</v>
      </c>
      <c r="M2" s="8">
        <f>$D2*SIN($H2)+SQRT($E2^2-($D2*COS($H2)-$F2^2))</f>
        <v>0.7055051817546879</v>
      </c>
      <c r="N2" s="8">
        <f t="shared" ref="N2:N33" si="0">ATAN($M2+$F2-$D2*SIN($H2))</f>
        <v>0.55099823331346809</v>
      </c>
      <c r="O2" s="2">
        <f t="shared" ref="O2:O33" si="1">($D2*$C2*COS($H2))+($D2*C2*($F2+$D2*COS($H2))*SIN($H2))/(SQRT($E2^2-($F2+$D2*COS($H2)^2)))</f>
        <v>0.32645650701008166</v>
      </c>
      <c r="P2" s="2">
        <f t="shared" ref="P2:P33" si="2">(-$D2*$C2^2*SIN($H2))+(-$D2*$C2^2*($F2+$D2*COS($H2))*COS($H2)+$D2^2*C2^2*(SIN($H2))^2)/SQRT($E2^2-($F2+$D2*COS($H2))^2)+($D2^2*C2^2*($F2+$D2*COS($H2))^2*(SIN($H2))^2)/($E2^2-($F2+$D2*COS($H2))^2)^3/2</f>
        <v>-1.1905062839002629</v>
      </c>
      <c r="Q2" s="2">
        <f>$T2*COS($N2)</f>
        <v>109.82783642054325</v>
      </c>
      <c r="R2" s="9">
        <f>$L2*$P2</f>
        <v>-0.1721635794567484</v>
      </c>
      <c r="S2" s="9">
        <f>$Q2+$R2</f>
        <v>109.6556728410865</v>
      </c>
      <c r="T2" s="9">
        <f t="shared" ref="T2:T33" si="3">($R2+$A2)/COS($N2)</f>
        <v>128.90555822600456</v>
      </c>
      <c r="U2" s="9">
        <f>-($I2)*(C2^2)*$D2*COS($H2)</f>
        <v>-0.10494304265693861</v>
      </c>
      <c r="V2" s="9">
        <f>-($I2)*(C2^2)*$D2*SIN($H2)</f>
        <v>-0.20717916810764073</v>
      </c>
      <c r="W2" s="9">
        <f>$T2*SIN($H2+$N2)</f>
        <v>128.47096162075437</v>
      </c>
      <c r="X2" s="9">
        <f t="shared" ref="X2:X33" si="4">$I2*(C2^2)*$D2</f>
        <v>0.23224179188912167</v>
      </c>
      <c r="Y2" s="2">
        <f t="shared" ref="Y2:Y33" si="5">$W2*$D2</f>
        <v>20.485373796202779</v>
      </c>
      <c r="Z2" s="2">
        <f t="shared" ref="Z2:Z33" si="6">$Y2*C2</f>
        <v>64.356699824191494</v>
      </c>
      <c r="AA2" s="10">
        <f t="shared" ref="AA2:AA33" si="7">ASIN($F2/$D2)</f>
        <v>0.32702813658891794</v>
      </c>
      <c r="AB2" s="2">
        <f t="shared" ref="AB2:AB33" si="8">(PI()+2*$AA2)/(PI()-2*$AA2)</f>
        <v>1.5258666995411085</v>
      </c>
    </row>
    <row r="3" spans="1:29" s="2" customFormat="1" ht="14">
      <c r="A3" s="2">
        <v>110</v>
      </c>
      <c r="B3" s="2">
        <v>2700</v>
      </c>
      <c r="C3" s="2">
        <f t="shared" ref="C3:C66" si="9">(2*PI()*30/60)</f>
        <v>3.1415926535897927</v>
      </c>
      <c r="D3" s="4">
        <v>0.11711133052761859</v>
      </c>
      <c r="E3" s="4">
        <v>0.69968302349985634</v>
      </c>
      <c r="F3" s="4">
        <v>0.10116627667860333</v>
      </c>
      <c r="G3" s="4">
        <v>4.3277098956565177E-4</v>
      </c>
      <c r="H3" s="3">
        <v>1.1692995882295725</v>
      </c>
      <c r="I3" s="5">
        <f t="shared" ref="I3:I66" si="10">$G3*$D3*$B3</f>
        <v>0.13684244328482659</v>
      </c>
      <c r="J3" s="5">
        <f t="shared" ref="J3:J66" si="11">$E3*$G3*$B3</f>
        <v>0.81756678904826396</v>
      </c>
      <c r="K3" s="5">
        <f t="shared" ref="K3:K66" si="12">$I3+$J3</f>
        <v>0.95440923233309061</v>
      </c>
      <c r="L3" s="5">
        <f t="shared" ref="L3:L66" si="13">0.2*$K3</f>
        <v>0.19088184646661813</v>
      </c>
      <c r="M3" s="8">
        <f t="shared" ref="M3:M66" si="14">$D3*SIN($H3)+SQRT($E3^2-($D3*COS($H3)-$F3^2))</f>
        <v>0.78161151566879439</v>
      </c>
      <c r="N3" s="8">
        <f t="shared" si="0"/>
        <v>0.65929725686733476</v>
      </c>
      <c r="O3" s="2">
        <f t="shared" si="1"/>
        <v>0.22552965899675084</v>
      </c>
      <c r="P3" s="2">
        <f t="shared" si="2"/>
        <v>-0.98121117719007911</v>
      </c>
      <c r="Q3" s="2">
        <f t="shared" ref="Q3:Q66" si="15">$T3*COS($N3)</f>
        <v>109.81270459872427</v>
      </c>
      <c r="R3" s="9">
        <f t="shared" ref="R3:R66" si="16">$L3*$P3</f>
        <v>-0.1872954012757263</v>
      </c>
      <c r="S3" s="9">
        <f t="shared" ref="S3:S66" si="17">$Q3+$R3</f>
        <v>109.62540919744853</v>
      </c>
      <c r="T3" s="9">
        <f t="shared" si="3"/>
        <v>138.92905252570264</v>
      </c>
      <c r="U3" s="9">
        <f>-($I3)*(C3^2)*$D3*COS($H3)</f>
        <v>-6.1811621725065137E-2</v>
      </c>
      <c r="V3" s="9">
        <f>-($I3)*(C3^2)*$D3*SIN(H3)</f>
        <v>-0.14559031011900014</v>
      </c>
      <c r="W3" s="9">
        <f>$T3*SIN($H3+$N3)</f>
        <v>134.33787580893031</v>
      </c>
      <c r="X3" s="9">
        <f t="shared" si="4"/>
        <v>0.15816831218935473</v>
      </c>
      <c r="Y3" s="2">
        <f t="shared" si="5"/>
        <v>15.732487376237815</v>
      </c>
      <c r="Z3" s="2">
        <f t="shared" si="6"/>
        <v>49.425066763882874</v>
      </c>
      <c r="AA3" s="10">
        <f t="shared" si="7"/>
        <v>1.0428571329427976</v>
      </c>
      <c r="AB3" s="2">
        <f t="shared" si="8"/>
        <v>4.9506713844585359</v>
      </c>
    </row>
    <row r="4" spans="1:29" s="2" customFormat="1" ht="14">
      <c r="A4" s="2">
        <v>110</v>
      </c>
      <c r="B4" s="2">
        <v>2700</v>
      </c>
      <c r="C4" s="2">
        <f t="shared" si="9"/>
        <v>3.1415926535897927</v>
      </c>
      <c r="D4" s="4">
        <v>0.14054619238291505</v>
      </c>
      <c r="E4" s="4">
        <v>0.62966222900890778</v>
      </c>
      <c r="F4" s="4">
        <v>5.0861790892954742E-2</v>
      </c>
      <c r="G4" s="4">
        <v>4.9497578723688661E-4</v>
      </c>
      <c r="H4" s="3">
        <v>0.32833879550866041</v>
      </c>
      <c r="I4" s="5">
        <f t="shared" si="10"/>
        <v>0.18783079798827679</v>
      </c>
      <c r="J4" s="5">
        <f t="shared" si="11"/>
        <v>0.84150240524194575</v>
      </c>
      <c r="K4" s="5">
        <f t="shared" si="12"/>
        <v>1.0293332032302225</v>
      </c>
      <c r="L4" s="5">
        <f t="shared" si="13"/>
        <v>0.20586664064604451</v>
      </c>
      <c r="M4" s="8">
        <f t="shared" si="14"/>
        <v>0.56109656088480953</v>
      </c>
      <c r="N4" s="8">
        <f t="shared" si="0"/>
        <v>0.51552600545320892</v>
      </c>
      <c r="O4" s="2">
        <f t="shared" si="1"/>
        <v>0.47381716842022253</v>
      </c>
      <c r="P4" s="2">
        <f t="shared" si="2"/>
        <v>-0.80742762541073976</v>
      </c>
      <c r="Q4" s="2">
        <f t="shared" si="15"/>
        <v>109.83377758719188</v>
      </c>
      <c r="R4" s="9">
        <f t="shared" si="16"/>
        <v>-0.16622241280812181</v>
      </c>
      <c r="S4" s="9">
        <f t="shared" si="17"/>
        <v>109.66755517438375</v>
      </c>
      <c r="T4" s="9">
        <f t="shared" si="3"/>
        <v>126.24085660839334</v>
      </c>
      <c r="U4" s="9">
        <f t="shared" ref="U4:U67" si="18">-($I4)*(C4^2)*$D4*COS($H4)</f>
        <v>-0.24662815529542903</v>
      </c>
      <c r="V4" s="9">
        <f t="shared" ref="V4:V67" si="19">-($I4)*(C4^2)*$D4*SIN(H4)</f>
        <v>-8.4018768998738599E-2</v>
      </c>
      <c r="W4" s="9">
        <f t="shared" ref="W4:W67" si="20">$T4*SIN($H4+$N4)</f>
        <v>94.329334764568785</v>
      </c>
      <c r="X4" s="9">
        <f t="shared" si="4"/>
        <v>0.26054673386647864</v>
      </c>
      <c r="Y4" s="2">
        <f t="shared" si="5"/>
        <v>13.257628831173481</v>
      </c>
      <c r="Z4" s="2">
        <f t="shared" si="6"/>
        <v>41.65006934003484</v>
      </c>
      <c r="AA4" s="10">
        <f t="shared" si="7"/>
        <v>0.37029092194945273</v>
      </c>
      <c r="AB4" s="2">
        <f t="shared" si="8"/>
        <v>1.6168917198621442</v>
      </c>
    </row>
    <row r="5" spans="1:29" s="2" customFormat="1" ht="14">
      <c r="A5" s="2">
        <v>110</v>
      </c>
      <c r="B5" s="2">
        <v>2700</v>
      </c>
      <c r="C5" s="2">
        <f t="shared" si="9"/>
        <v>3.1415926535897927</v>
      </c>
      <c r="D5" s="4">
        <v>0.15734300691542832</v>
      </c>
      <c r="E5" s="4">
        <v>0.79099363656320154</v>
      </c>
      <c r="F5" s="4">
        <v>8.8770453353402196E-2</v>
      </c>
      <c r="G5" s="4">
        <v>2.0359828638312998E-4</v>
      </c>
      <c r="H5" s="3">
        <v>1.0370788389756866</v>
      </c>
      <c r="I5" s="5">
        <f t="shared" si="10"/>
        <v>8.6493869772345466E-2</v>
      </c>
      <c r="J5" s="5">
        <f t="shared" si="11"/>
        <v>0.43482136214941597</v>
      </c>
      <c r="K5" s="5">
        <f t="shared" si="12"/>
        <v>0.52131523192176143</v>
      </c>
      <c r="L5" s="5">
        <f t="shared" si="13"/>
        <v>0.1042630463843523</v>
      </c>
      <c r="M5" s="8">
        <f t="shared" si="14"/>
        <v>0.87943910191207397</v>
      </c>
      <c r="N5" s="8">
        <f t="shared" si="0"/>
        <v>0.69439363800108533</v>
      </c>
      <c r="O5" s="2">
        <f t="shared" si="1"/>
        <v>0.35346277052425928</v>
      </c>
      <c r="P5" s="2">
        <f t="shared" si="2"/>
        <v>-1.2630514119812917</v>
      </c>
      <c r="Q5" s="2">
        <f t="shared" si="15"/>
        <v>109.86831041204675</v>
      </c>
      <c r="R5" s="9">
        <f t="shared" si="16"/>
        <v>-0.13168958795322708</v>
      </c>
      <c r="S5" s="9">
        <f t="shared" si="17"/>
        <v>109.73662082409352</v>
      </c>
      <c r="T5" s="9">
        <f t="shared" si="3"/>
        <v>142.97543545973906</v>
      </c>
      <c r="U5" s="9">
        <f t="shared" si="18"/>
        <v>-6.833231164157115E-2</v>
      </c>
      <c r="V5" s="9">
        <f t="shared" si="19"/>
        <v>-0.11563684219629641</v>
      </c>
      <c r="W5" s="9">
        <f t="shared" si="20"/>
        <v>141.1338167265495</v>
      </c>
      <c r="X5" s="9">
        <f t="shared" si="4"/>
        <v>0.13431747498896768</v>
      </c>
      <c r="Y5" s="2">
        <f t="shared" si="5"/>
        <v>22.206419101206272</v>
      </c>
      <c r="Z5" s="2">
        <f t="shared" si="6"/>
        <v>69.763523110885671</v>
      </c>
      <c r="AA5" s="10">
        <f t="shared" si="7"/>
        <v>0.59944496284669868</v>
      </c>
      <c r="AB5" s="2">
        <f t="shared" si="8"/>
        <v>2.2342494901333496</v>
      </c>
    </row>
    <row r="6" spans="1:29" s="2" customFormat="1" ht="14">
      <c r="A6" s="2">
        <v>110</v>
      </c>
      <c r="B6" s="2">
        <v>2700</v>
      </c>
      <c r="C6" s="2">
        <f t="shared" si="9"/>
        <v>3.1415926535897927</v>
      </c>
      <c r="D6" s="4">
        <v>5.8318095007217421E-2</v>
      </c>
      <c r="E6" s="4">
        <v>0.62110324976213527</v>
      </c>
      <c r="F6" s="4">
        <v>5.2712741565032056E-2</v>
      </c>
      <c r="G6" s="4">
        <v>1.0684543940531796E-4</v>
      </c>
      <c r="H6" s="3">
        <v>1.74511524240975</v>
      </c>
      <c r="I6" s="5">
        <f t="shared" si="10"/>
        <v>1.6823760713083506E-2</v>
      </c>
      <c r="J6" s="5">
        <f t="shared" si="11"/>
        <v>0.17917753401964698</v>
      </c>
      <c r="K6" s="5">
        <f t="shared" si="12"/>
        <v>0.19600129473273048</v>
      </c>
      <c r="L6" s="5">
        <f t="shared" si="13"/>
        <v>3.92002589465461E-2</v>
      </c>
      <c r="M6" s="8">
        <f t="shared" si="14"/>
        <v>0.68883147445567039</v>
      </c>
      <c r="N6" s="8">
        <f t="shared" si="0"/>
        <v>0.59998169625686648</v>
      </c>
      <c r="O6" s="2">
        <f t="shared" si="1"/>
        <v>-1.8422110002235537E-2</v>
      </c>
      <c r="P6" s="2">
        <f t="shared" si="2"/>
        <v>-0.50692755034308601</v>
      </c>
      <c r="Q6" s="2">
        <f t="shared" si="15"/>
        <v>109.98012830875943</v>
      </c>
      <c r="R6" s="9">
        <f t="shared" si="16"/>
        <v>-1.9871691240587255E-2</v>
      </c>
      <c r="S6" s="9">
        <f t="shared" si="17"/>
        <v>109.96025661751885</v>
      </c>
      <c r="T6" s="9">
        <f t="shared" si="3"/>
        <v>133.25336888099395</v>
      </c>
      <c r="U6" s="9">
        <f t="shared" si="18"/>
        <v>1.6794572368070144E-3</v>
      </c>
      <c r="V6" s="9">
        <f t="shared" si="19"/>
        <v>-9.5366093795073263E-3</v>
      </c>
      <c r="W6" s="9">
        <f t="shared" si="20"/>
        <v>95.264196915462435</v>
      </c>
      <c r="X6" s="9">
        <f t="shared" si="4"/>
        <v>9.6833617647783133E-3</v>
      </c>
      <c r="Y6" s="2">
        <f t="shared" si="5"/>
        <v>5.5556264865022067</v>
      </c>
      <c r="Z6" s="2">
        <f t="shared" si="6"/>
        <v>17.453515356084203</v>
      </c>
      <c r="AA6" s="10">
        <f t="shared" si="7"/>
        <v>1.1287615947464511</v>
      </c>
      <c r="AB6" s="2">
        <f t="shared" si="8"/>
        <v>6.1071172145936385</v>
      </c>
    </row>
    <row r="7" spans="1:29" s="2" customFormat="1" ht="14">
      <c r="A7" s="2">
        <v>110</v>
      </c>
      <c r="B7" s="2">
        <v>2700</v>
      </c>
      <c r="C7" s="2">
        <f t="shared" si="9"/>
        <v>3.1415926535897927</v>
      </c>
      <c r="D7" s="4">
        <v>0.13203986461790204</v>
      </c>
      <c r="E7" s="4">
        <v>0.59063496360537304</v>
      </c>
      <c r="F7" s="4">
        <v>0.11131355049714209</v>
      </c>
      <c r="G7" s="4">
        <v>3.8991529182668311E-4</v>
      </c>
      <c r="H7" s="3">
        <v>0.41474937456770677</v>
      </c>
      <c r="I7" s="5">
        <f t="shared" si="10"/>
        <v>0.13900777833216152</v>
      </c>
      <c r="J7" s="5">
        <f t="shared" si="11"/>
        <v>0.62180353133252475</v>
      </c>
      <c r="K7" s="5">
        <f t="shared" si="12"/>
        <v>0.76081130966468624</v>
      </c>
      <c r="L7" s="5">
        <f t="shared" si="13"/>
        <v>0.15216226193293725</v>
      </c>
      <c r="M7" s="8">
        <f t="shared" si="14"/>
        <v>0.54350798334168471</v>
      </c>
      <c r="N7" s="8">
        <f t="shared" si="0"/>
        <v>0.54160591575218886</v>
      </c>
      <c r="O7" s="2">
        <f t="shared" si="1"/>
        <v>0.48856670888109466</v>
      </c>
      <c r="P7" s="2">
        <f t="shared" si="2"/>
        <v>-0.95418489613637802</v>
      </c>
      <c r="Q7" s="2">
        <f t="shared" si="15"/>
        <v>109.85480906790166</v>
      </c>
      <c r="R7" s="9">
        <f t="shared" si="16"/>
        <v>-0.14519093209835607</v>
      </c>
      <c r="S7" s="9">
        <f t="shared" si="17"/>
        <v>109.7096181358033</v>
      </c>
      <c r="T7" s="9">
        <f t="shared" si="3"/>
        <v>128.20297282017364</v>
      </c>
      <c r="U7" s="9">
        <f t="shared" si="18"/>
        <v>-0.16579375147282607</v>
      </c>
      <c r="V7" s="9">
        <f t="shared" si="19"/>
        <v>-7.2997244436317582E-2</v>
      </c>
      <c r="W7" s="9">
        <f t="shared" si="20"/>
        <v>104.75411295383769</v>
      </c>
      <c r="X7" s="9">
        <f t="shared" si="4"/>
        <v>0.18115232740080575</v>
      </c>
      <c r="Y7" s="2">
        <f t="shared" si="5"/>
        <v>13.831718892593146</v>
      </c>
      <c r="Z7" s="2">
        <f t="shared" si="6"/>
        <v>43.453626459489769</v>
      </c>
      <c r="AA7" s="10">
        <f t="shared" si="7"/>
        <v>1.0028917331760414</v>
      </c>
      <c r="AB7" s="2">
        <f t="shared" si="8"/>
        <v>4.5319021696419828</v>
      </c>
    </row>
    <row r="8" spans="1:29" s="2" customFormat="1" ht="14">
      <c r="A8" s="2">
        <v>110</v>
      </c>
      <c r="B8" s="2">
        <v>2700</v>
      </c>
      <c r="C8" s="2">
        <f t="shared" si="9"/>
        <v>3.1415926535897927</v>
      </c>
      <c r="D8" s="4">
        <v>0.17835133445468077</v>
      </c>
      <c r="E8" s="4">
        <v>0.62429667292634428</v>
      </c>
      <c r="F8" s="4">
        <v>6.9827063394931582E-2</v>
      </c>
      <c r="G8" s="4">
        <v>1.4238432164069269E-4</v>
      </c>
      <c r="H8" s="3">
        <v>1.9313631904507058</v>
      </c>
      <c r="I8" s="5">
        <f t="shared" si="10"/>
        <v>6.8564971179113463E-2</v>
      </c>
      <c r="J8" s="5">
        <f t="shared" si="11"/>
        <v>0.24000315734832908</v>
      </c>
      <c r="K8" s="5">
        <f t="shared" si="12"/>
        <v>0.30856812852744253</v>
      </c>
      <c r="L8" s="5">
        <f t="shared" si="13"/>
        <v>6.1713625705488509E-2</v>
      </c>
      <c r="M8" s="8">
        <f t="shared" si="14"/>
        <v>0.84330378678340834</v>
      </c>
      <c r="N8" s="8">
        <f t="shared" si="0"/>
        <v>0.64109552980902917</v>
      </c>
      <c r="O8" s="2">
        <f t="shared" si="1"/>
        <v>-0.19104541054110738</v>
      </c>
      <c r="P8" s="2">
        <f t="shared" si="2"/>
        <v>-1.1997785331083184</v>
      </c>
      <c r="Q8" s="2">
        <f t="shared" si="15"/>
        <v>109.92595731667828</v>
      </c>
      <c r="R8" s="9">
        <f t="shared" si="16"/>
        <v>-7.404268332172681E-2</v>
      </c>
      <c r="S8" s="9">
        <f t="shared" si="17"/>
        <v>109.85191463335656</v>
      </c>
      <c r="T8" s="9">
        <f t="shared" si="3"/>
        <v>137.16038114710605</v>
      </c>
      <c r="U8" s="9">
        <f t="shared" si="18"/>
        <v>4.258069753528234E-2</v>
      </c>
      <c r="V8" s="9">
        <f t="shared" si="19"/>
        <v>-0.11293111991464412</v>
      </c>
      <c r="W8" s="9">
        <f t="shared" si="20"/>
        <v>73.916100291426716</v>
      </c>
      <c r="X8" s="9">
        <f t="shared" si="4"/>
        <v>0.12069197839030947</v>
      </c>
      <c r="Y8" s="2">
        <f t="shared" si="5"/>
        <v>13.183035124661973</v>
      </c>
      <c r="Z8" s="2">
        <f t="shared" si="6"/>
        <v>41.415726299654253</v>
      </c>
      <c r="AA8" s="10">
        <f t="shared" si="7"/>
        <v>0.4022764782217389</v>
      </c>
      <c r="AB8" s="2">
        <f t="shared" si="8"/>
        <v>1.6885231409854886</v>
      </c>
    </row>
    <row r="9" spans="1:29" s="2" customFormat="1" ht="14">
      <c r="A9" s="2">
        <v>110</v>
      </c>
      <c r="B9" s="2">
        <v>2700</v>
      </c>
      <c r="C9" s="2">
        <f t="shared" si="9"/>
        <v>3.1415926535897927</v>
      </c>
      <c r="D9" s="4">
        <v>0.13769001186239649</v>
      </c>
      <c r="E9" s="4">
        <v>0.66157641268465328</v>
      </c>
      <c r="F9" s="4">
        <v>0.11040347046249416</v>
      </c>
      <c r="G9" s="4">
        <v>2.2737641056626886E-4</v>
      </c>
      <c r="H9" s="3">
        <v>6.2276450838906969E-2</v>
      </c>
      <c r="I9" s="5">
        <f t="shared" si="10"/>
        <v>8.4530143803866475E-2</v>
      </c>
      <c r="J9" s="5">
        <f t="shared" si="11"/>
        <v>0.40615254908517162</v>
      </c>
      <c r="K9" s="5">
        <f t="shared" si="12"/>
        <v>0.4906826928890381</v>
      </c>
      <c r="L9" s="5">
        <f t="shared" si="13"/>
        <v>9.813653857780763E-2</v>
      </c>
      <c r="M9" s="8">
        <f t="shared" si="14"/>
        <v>0.56754084441602137</v>
      </c>
      <c r="N9" s="8">
        <f t="shared" si="0"/>
        <v>0.5898752683150098</v>
      </c>
      <c r="O9" s="2">
        <f t="shared" si="1"/>
        <v>0.4470285861826408</v>
      </c>
      <c r="P9" s="2">
        <f t="shared" si="2"/>
        <v>-0.63095062585073769</v>
      </c>
      <c r="Q9" s="2">
        <f t="shared" si="15"/>
        <v>109.93808068956551</v>
      </c>
      <c r="R9" s="9">
        <f t="shared" si="16"/>
        <v>-6.1919310434492787E-2</v>
      </c>
      <c r="S9" s="9">
        <f t="shared" si="17"/>
        <v>109.87616137913102</v>
      </c>
      <c r="T9" s="9">
        <f t="shared" si="3"/>
        <v>132.29452308578001</v>
      </c>
      <c r="U9" s="9">
        <f t="shared" si="18"/>
        <v>-0.11464921123882149</v>
      </c>
      <c r="V9" s="9">
        <f t="shared" si="19"/>
        <v>-7.1491907276993579E-3</v>
      </c>
      <c r="W9" s="9">
        <f t="shared" si="20"/>
        <v>80.289275147690574</v>
      </c>
      <c r="X9" s="9">
        <f t="shared" si="4"/>
        <v>0.11487189632692991</v>
      </c>
      <c r="Y9" s="2">
        <f t="shared" si="5"/>
        <v>11.055031247508731</v>
      </c>
      <c r="Z9" s="2">
        <f t="shared" si="6"/>
        <v>34.730404952379033</v>
      </c>
      <c r="AA9" s="10">
        <f t="shared" si="7"/>
        <v>0.93034522998139235</v>
      </c>
      <c r="AB9" s="2">
        <f t="shared" si="8"/>
        <v>3.9052810889394216</v>
      </c>
    </row>
    <row r="10" spans="1:29" s="2" customFormat="1" ht="14">
      <c r="A10" s="2">
        <v>110</v>
      </c>
      <c r="B10" s="2">
        <v>2700</v>
      </c>
      <c r="C10" s="2">
        <f t="shared" si="9"/>
        <v>3.1415926535897927</v>
      </c>
      <c r="D10" s="4">
        <v>8.2545992088490505E-2</v>
      </c>
      <c r="E10" s="4">
        <v>0.37558411977834183</v>
      </c>
      <c r="F10" s="4">
        <v>5.6052283901143467E-2</v>
      </c>
      <c r="G10" s="4">
        <v>4.654865910453035E-4</v>
      </c>
      <c r="H10" s="3">
        <v>0.17589678112930671</v>
      </c>
      <c r="I10" s="5">
        <f t="shared" si="10"/>
        <v>0.10374494164665489</v>
      </c>
      <c r="J10" s="5">
        <f t="shared" si="11"/>
        <v>0.47203930322920251</v>
      </c>
      <c r="K10" s="5">
        <f t="shared" si="12"/>
        <v>0.57578424487585744</v>
      </c>
      <c r="L10" s="5">
        <f t="shared" si="13"/>
        <v>0.11515684897517149</v>
      </c>
      <c r="M10" s="8">
        <f t="shared" si="14"/>
        <v>0.26530928686462835</v>
      </c>
      <c r="N10" s="8">
        <f t="shared" si="0"/>
        <v>0.29779029712083471</v>
      </c>
      <c r="O10" s="2">
        <f t="shared" si="1"/>
        <v>0.3435176900611272</v>
      </c>
      <c r="P10" s="2">
        <f t="shared" si="2"/>
        <v>-0.44113220172899315</v>
      </c>
      <c r="Q10" s="2">
        <f t="shared" si="15"/>
        <v>109.94920060566741</v>
      </c>
      <c r="R10" s="9">
        <f t="shared" si="16"/>
        <v>-5.079939433259055E-2</v>
      </c>
      <c r="S10" s="9">
        <f t="shared" si="17"/>
        <v>109.89840121133483</v>
      </c>
      <c r="T10" s="9">
        <f t="shared" si="3"/>
        <v>115.01116780137126</v>
      </c>
      <c r="U10" s="9">
        <f t="shared" si="18"/>
        <v>-8.3216466100442449E-2</v>
      </c>
      <c r="V10" s="9">
        <f t="shared" si="19"/>
        <v>-1.4790360409930909E-2</v>
      </c>
      <c r="W10" s="9">
        <f t="shared" si="20"/>
        <v>52.464699803785606</v>
      </c>
      <c r="X10" s="9">
        <f t="shared" si="4"/>
        <v>8.4520618734730865E-2</v>
      </c>
      <c r="Y10" s="2">
        <f t="shared" si="5"/>
        <v>4.3307506949283159</v>
      </c>
      <c r="Z10" s="2">
        <f t="shared" si="6"/>
        <v>13.605454567715686</v>
      </c>
      <c r="AA10" s="10">
        <f t="shared" si="7"/>
        <v>0.74645830319411133</v>
      </c>
      <c r="AB10" s="2">
        <f t="shared" si="8"/>
        <v>2.8110490643959669</v>
      </c>
    </row>
    <row r="11" spans="1:29" s="2" customFormat="1" ht="14">
      <c r="A11" s="2">
        <v>110</v>
      </c>
      <c r="B11" s="2">
        <v>2700</v>
      </c>
      <c r="C11" s="2">
        <f t="shared" si="9"/>
        <v>3.1415926535897927</v>
      </c>
      <c r="D11" s="4">
        <v>8.7055454229173032E-2</v>
      </c>
      <c r="E11" s="4">
        <v>0.52416276761019864</v>
      </c>
      <c r="F11" s="4">
        <v>8.2342419887317317E-2</v>
      </c>
      <c r="G11" s="4">
        <v>2.0596234826729344E-4</v>
      </c>
      <c r="H11" s="3">
        <v>2.0395973316284159</v>
      </c>
      <c r="I11" s="5">
        <f t="shared" si="10"/>
        <v>4.8411393612794167E-2</v>
      </c>
      <c r="J11" s="5">
        <f t="shared" si="11"/>
        <v>0.29148604512645637</v>
      </c>
      <c r="K11" s="5">
        <f t="shared" si="12"/>
        <v>0.33989743873925055</v>
      </c>
      <c r="L11" s="5">
        <f t="shared" si="13"/>
        <v>6.7979487747850106E-2</v>
      </c>
      <c r="M11" s="8">
        <f t="shared" si="14"/>
        <v>0.64410816450189079</v>
      </c>
      <c r="N11" s="8">
        <f t="shared" si="0"/>
        <v>0.57552236587526118</v>
      </c>
      <c r="O11" s="2">
        <f t="shared" si="1"/>
        <v>-9.8457683517999814E-2</v>
      </c>
      <c r="P11" s="2">
        <f t="shared" si="2"/>
        <v>-0.61787977107021075</v>
      </c>
      <c r="Q11" s="2">
        <f t="shared" si="15"/>
        <v>109.9579968496729</v>
      </c>
      <c r="R11" s="9">
        <f t="shared" si="16"/>
        <v>-4.200315032711182E-2</v>
      </c>
      <c r="S11" s="9">
        <f t="shared" si="17"/>
        <v>109.91599369934579</v>
      </c>
      <c r="T11" s="9">
        <f t="shared" si="3"/>
        <v>131.07275505562592</v>
      </c>
      <c r="U11" s="9">
        <f t="shared" si="18"/>
        <v>1.8793421692588564E-2</v>
      </c>
      <c r="V11" s="9">
        <f t="shared" si="19"/>
        <v>-3.7107529623960557E-2</v>
      </c>
      <c r="W11" s="9">
        <f t="shared" si="20"/>
        <v>65.862361323805231</v>
      </c>
      <c r="X11" s="9">
        <f t="shared" si="4"/>
        <v>4.1595209504323556E-2</v>
      </c>
      <c r="Y11" s="2">
        <f t="shared" si="5"/>
        <v>5.7336777816497824</v>
      </c>
      <c r="Z11" s="2">
        <f t="shared" si="6"/>
        <v>18.012879996881974</v>
      </c>
      <c r="AA11" s="10">
        <f t="shared" si="7"/>
        <v>1.2402393103921741</v>
      </c>
      <c r="AB11" s="2">
        <f t="shared" si="8"/>
        <v>8.5039357741611035</v>
      </c>
    </row>
    <row r="12" spans="1:29" s="2" customFormat="1" ht="14">
      <c r="A12" s="2">
        <v>110</v>
      </c>
      <c r="B12" s="2">
        <v>2700</v>
      </c>
      <c r="C12" s="2">
        <f t="shared" si="9"/>
        <v>3.1415926535897927</v>
      </c>
      <c r="D12" s="4">
        <v>0.1370248895287709</v>
      </c>
      <c r="E12" s="4">
        <v>0.49986857707695864</v>
      </c>
      <c r="F12" s="4">
        <v>0.10927874876454678</v>
      </c>
      <c r="G12" s="4">
        <v>1.41722560904977E-4</v>
      </c>
      <c r="H12" s="3">
        <v>1.9018788446325792</v>
      </c>
      <c r="I12" s="5">
        <f t="shared" si="10"/>
        <v>5.2432699279695245E-2</v>
      </c>
      <c r="J12" s="5">
        <f t="shared" si="11"/>
        <v>0.19127516812003836</v>
      </c>
      <c r="K12" s="5">
        <f t="shared" si="12"/>
        <v>0.2437078673997336</v>
      </c>
      <c r="L12" s="5">
        <f t="shared" si="13"/>
        <v>4.8741573479946725E-2</v>
      </c>
      <c r="M12" s="8">
        <f t="shared" si="14"/>
        <v>0.68307458025811596</v>
      </c>
      <c r="N12" s="8">
        <f t="shared" si="0"/>
        <v>0.58530014302994482</v>
      </c>
      <c r="O12" s="2">
        <f t="shared" si="1"/>
        <v>-6.5722031139849632E-2</v>
      </c>
      <c r="P12" s="2">
        <f t="shared" si="2"/>
        <v>-0.86373936740007728</v>
      </c>
      <c r="Q12" s="2">
        <f t="shared" si="15"/>
        <v>109.95789998415634</v>
      </c>
      <c r="R12" s="9">
        <f t="shared" si="16"/>
        <v>-4.2100015843653568E-2</v>
      </c>
      <c r="S12" s="9">
        <f t="shared" si="17"/>
        <v>109.91579996831268</v>
      </c>
      <c r="T12" s="9">
        <f t="shared" si="3"/>
        <v>131.91576607748615</v>
      </c>
      <c r="U12" s="9">
        <f t="shared" si="18"/>
        <v>2.3050175335287887E-2</v>
      </c>
      <c r="V12" s="9">
        <f t="shared" si="19"/>
        <v>-6.7058013089686994E-2</v>
      </c>
      <c r="W12" s="9">
        <f t="shared" si="20"/>
        <v>80.296354790675437</v>
      </c>
      <c r="X12" s="9">
        <f t="shared" si="4"/>
        <v>7.0909010023579841E-2</v>
      </c>
      <c r="Y12" s="2">
        <f t="shared" si="5"/>
        <v>11.002599144755296</v>
      </c>
      <c r="Z12" s="2">
        <f t="shared" si="6"/>
        <v>34.565684643556573</v>
      </c>
      <c r="AA12" s="10">
        <f t="shared" si="7"/>
        <v>0.92315697701683375</v>
      </c>
      <c r="AB12" s="2">
        <f t="shared" si="8"/>
        <v>3.8508365877804893</v>
      </c>
    </row>
    <row r="13" spans="1:29" s="2" customFormat="1" ht="14">
      <c r="A13" s="2">
        <v>110</v>
      </c>
      <c r="B13" s="2">
        <v>2700</v>
      </c>
      <c r="C13" s="2">
        <f t="shared" si="9"/>
        <v>3.1415926535897927</v>
      </c>
      <c r="D13" s="4">
        <v>0.14060530252497783</v>
      </c>
      <c r="E13" s="4">
        <v>0.53470880572248769</v>
      </c>
      <c r="F13" s="4">
        <v>7.2121939306953139E-2</v>
      </c>
      <c r="G13" s="4">
        <v>1.9141155449727194E-4</v>
      </c>
      <c r="H13" s="3">
        <v>0.1315835501232375</v>
      </c>
      <c r="I13" s="5">
        <f t="shared" si="10"/>
        <v>7.266639472253604E-2</v>
      </c>
      <c r="J13" s="5">
        <f t="shared" si="11"/>
        <v>0.27634349800814711</v>
      </c>
      <c r="K13" s="5">
        <f t="shared" si="12"/>
        <v>0.34900989273068317</v>
      </c>
      <c r="L13" s="5">
        <f t="shared" si="13"/>
        <v>6.9801978546136637E-2</v>
      </c>
      <c r="M13" s="8">
        <f t="shared" si="14"/>
        <v>0.40796726890231622</v>
      </c>
      <c r="N13" s="8">
        <f t="shared" si="0"/>
        <v>0.43249247425382437</v>
      </c>
      <c r="O13" s="2">
        <f t="shared" si="1"/>
        <v>0.48248742081065221</v>
      </c>
      <c r="P13" s="2">
        <f t="shared" si="2"/>
        <v>-0.7623921572658704</v>
      </c>
      <c r="Q13" s="2">
        <f t="shared" si="15"/>
        <v>109.94678351899479</v>
      </c>
      <c r="R13" s="9">
        <f t="shared" si="16"/>
        <v>-5.3216481005215116E-2</v>
      </c>
      <c r="S13" s="9">
        <f t="shared" si="17"/>
        <v>109.89356703798958</v>
      </c>
      <c r="T13" s="9">
        <f t="shared" si="3"/>
        <v>121.09691685006806</v>
      </c>
      <c r="U13" s="9">
        <f t="shared" si="18"/>
        <v>-9.9968786626263628E-2</v>
      </c>
      <c r="V13" s="9">
        <f t="shared" si="19"/>
        <v>-1.3230695905686781E-2</v>
      </c>
      <c r="W13" s="9">
        <f t="shared" si="20"/>
        <v>64.742675363837861</v>
      </c>
      <c r="X13" s="9">
        <f t="shared" si="4"/>
        <v>0.10084051573487803</v>
      </c>
      <c r="Y13" s="2">
        <f t="shared" si="5"/>
        <v>9.1031634558088506</v>
      </c>
      <c r="Z13" s="2">
        <f t="shared" si="6"/>
        <v>28.598431437196155</v>
      </c>
      <c r="AA13" s="10">
        <f t="shared" si="7"/>
        <v>0.53860498093152587</v>
      </c>
      <c r="AB13" s="2">
        <f t="shared" si="8"/>
        <v>2.0436146032226468</v>
      </c>
    </row>
    <row r="14" spans="1:29" s="2" customFormat="1" ht="14">
      <c r="A14" s="2">
        <v>110</v>
      </c>
      <c r="B14" s="2">
        <v>2700</v>
      </c>
      <c r="C14" s="2">
        <f t="shared" si="9"/>
        <v>3.1415926535897927</v>
      </c>
      <c r="D14" s="4">
        <v>0.11021886375893231</v>
      </c>
      <c r="E14" s="4">
        <v>0.68442949061337832</v>
      </c>
      <c r="F14" s="4">
        <v>0.10363774127960189</v>
      </c>
      <c r="G14" s="4">
        <v>4.5605634541608174E-4</v>
      </c>
      <c r="H14" s="3">
        <v>0.58767392028163878</v>
      </c>
      <c r="I14" s="5">
        <f t="shared" si="10"/>
        <v>0.13571823294489155</v>
      </c>
      <c r="J14" s="5">
        <f t="shared" si="11"/>
        <v>0.84277371289714498</v>
      </c>
      <c r="K14" s="5">
        <f t="shared" si="12"/>
        <v>0.97849194584203647</v>
      </c>
      <c r="L14" s="5">
        <f t="shared" si="13"/>
        <v>0.19569838916840732</v>
      </c>
      <c r="M14" s="8">
        <f t="shared" si="14"/>
        <v>0.68356854370814513</v>
      </c>
      <c r="N14" s="8">
        <f t="shared" si="0"/>
        <v>0.62802752558717012</v>
      </c>
      <c r="O14" s="2">
        <f t="shared" si="1"/>
        <v>0.35800236057343704</v>
      </c>
      <c r="P14" s="2">
        <f t="shared" si="2"/>
        <v>-0.80773349373332082</v>
      </c>
      <c r="Q14" s="2">
        <f t="shared" si="15"/>
        <v>109.84192785639902</v>
      </c>
      <c r="R14" s="9">
        <f t="shared" si="16"/>
        <v>-0.15807214360098071</v>
      </c>
      <c r="S14" s="9">
        <f t="shared" si="17"/>
        <v>109.68385571279805</v>
      </c>
      <c r="T14" s="9">
        <f t="shared" si="3"/>
        <v>135.74339545741091</v>
      </c>
      <c r="U14" s="9">
        <f t="shared" si="18"/>
        <v>-0.12286794077360849</v>
      </c>
      <c r="V14" s="9">
        <f t="shared" si="19"/>
        <v>-8.1853639929787225E-2</v>
      </c>
      <c r="W14" s="9">
        <f t="shared" si="20"/>
        <v>127.27484078227279</v>
      </c>
      <c r="X14" s="9">
        <f t="shared" si="4"/>
        <v>0.14763654439095431</v>
      </c>
      <c r="Y14" s="2">
        <f t="shared" si="5"/>
        <v>14.028088336121126</v>
      </c>
      <c r="Z14" s="2">
        <f t="shared" si="6"/>
        <v>44.070539260666784</v>
      </c>
      <c r="AA14" s="10">
        <f t="shared" si="7"/>
        <v>1.2234825311832571</v>
      </c>
      <c r="AB14" s="2">
        <f t="shared" si="8"/>
        <v>8.045401286341848</v>
      </c>
    </row>
    <row r="15" spans="1:29" s="2" customFormat="1" ht="14">
      <c r="A15" s="2">
        <v>110</v>
      </c>
      <c r="B15" s="2">
        <v>2700</v>
      </c>
      <c r="C15" s="2">
        <f t="shared" si="9"/>
        <v>3.1415926535897927</v>
      </c>
      <c r="D15" s="4">
        <v>0.103374505841748</v>
      </c>
      <c r="E15" s="4">
        <v>0.55388271725185312</v>
      </c>
      <c r="F15" s="4">
        <v>0.10028394294852588</v>
      </c>
      <c r="G15" s="4">
        <v>4.4581929664809289E-4</v>
      </c>
      <c r="H15" s="3">
        <v>1.966634565506499</v>
      </c>
      <c r="I15" s="5">
        <f t="shared" si="10"/>
        <v>0.1244331436114231</v>
      </c>
      <c r="J15" s="5">
        <f t="shared" si="11"/>
        <v>0.66671532926304022</v>
      </c>
      <c r="K15" s="5">
        <f t="shared" si="12"/>
        <v>0.79114847287446333</v>
      </c>
      <c r="L15" s="5">
        <f t="shared" si="13"/>
        <v>0.15822969457489267</v>
      </c>
      <c r="M15" s="8">
        <f t="shared" si="14"/>
        <v>0.69262649318688707</v>
      </c>
      <c r="N15" s="8">
        <f t="shared" si="0"/>
        <v>0.60906598593313432</v>
      </c>
      <c r="O15" s="2">
        <f t="shared" si="1"/>
        <v>-8.3806776020651425E-2</v>
      </c>
      <c r="P15" s="2">
        <f t="shared" si="2"/>
        <v>-0.7292316486485696</v>
      </c>
      <c r="Q15" s="2">
        <f t="shared" si="15"/>
        <v>109.88461389896</v>
      </c>
      <c r="R15" s="9">
        <f t="shared" si="16"/>
        <v>-0.11538610104000861</v>
      </c>
      <c r="S15" s="9">
        <f t="shared" si="17"/>
        <v>109.76922779792</v>
      </c>
      <c r="T15" s="9">
        <f t="shared" si="3"/>
        <v>133.97577191907348</v>
      </c>
      <c r="U15" s="9">
        <f t="shared" si="18"/>
        <v>4.8951469019198536E-2</v>
      </c>
      <c r="V15" s="9">
        <f t="shared" si="19"/>
        <v>-0.11713788995808704</v>
      </c>
      <c r="W15" s="9">
        <f t="shared" si="20"/>
        <v>71.83366398246217</v>
      </c>
      <c r="X15" s="9">
        <f t="shared" si="4"/>
        <v>0.12695484072287461</v>
      </c>
      <c r="Y15" s="2">
        <f t="shared" si="5"/>
        <v>7.425769516989198</v>
      </c>
      <c r="Z15" s="2">
        <f t="shared" si="6"/>
        <v>23.328742961824286</v>
      </c>
      <c r="AA15" s="10">
        <f t="shared" si="7"/>
        <v>1.3256558382497776</v>
      </c>
      <c r="AB15" s="2">
        <f t="shared" si="8"/>
        <v>11.815478472098958</v>
      </c>
    </row>
    <row r="16" spans="1:29" s="2" customFormat="1" ht="14">
      <c r="A16" s="2">
        <v>110</v>
      </c>
      <c r="B16" s="2">
        <v>2700</v>
      </c>
      <c r="C16" s="2">
        <f t="shared" si="9"/>
        <v>3.1415926535897927</v>
      </c>
      <c r="D16" s="4">
        <v>0.1137454852501002</v>
      </c>
      <c r="E16" s="4">
        <v>0.69692173258609191</v>
      </c>
      <c r="F16" s="4">
        <v>7.6865881328727181E-2</v>
      </c>
      <c r="G16" s="4">
        <v>1.7207701476484248E-4</v>
      </c>
      <c r="H16" s="3">
        <v>1.0635388945498052</v>
      </c>
      <c r="I16" s="5">
        <f t="shared" si="10"/>
        <v>5.2847055571002298E-2</v>
      </c>
      <c r="J16" s="5">
        <f t="shared" si="11"/>
        <v>0.32379537042402268</v>
      </c>
      <c r="K16" s="5">
        <f t="shared" si="12"/>
        <v>0.37664242599502495</v>
      </c>
      <c r="L16" s="5">
        <f t="shared" si="13"/>
        <v>7.5328485199004994E-2</v>
      </c>
      <c r="M16" s="8">
        <f t="shared" si="14"/>
        <v>0.75999269918292656</v>
      </c>
      <c r="N16" s="8">
        <f t="shared" si="0"/>
        <v>0.63541148471673869</v>
      </c>
      <c r="O16" s="2">
        <f t="shared" si="1"/>
        <v>0.24036023274407764</v>
      </c>
      <c r="P16" s="2">
        <f t="shared" si="2"/>
        <v>-0.93569223888433151</v>
      </c>
      <c r="Q16" s="2">
        <f t="shared" si="15"/>
        <v>109.92951572103237</v>
      </c>
      <c r="R16" s="9">
        <f t="shared" si="16"/>
        <v>-7.0484278967622216E-2</v>
      </c>
      <c r="S16" s="9">
        <f t="shared" si="17"/>
        <v>109.85903144206475</v>
      </c>
      <c r="T16" s="9">
        <f t="shared" si="3"/>
        <v>136.58766579946257</v>
      </c>
      <c r="U16" s="9">
        <f t="shared" si="18"/>
        <v>-2.8820133980969151E-2</v>
      </c>
      <c r="V16" s="9">
        <f t="shared" si="19"/>
        <v>-5.1856826154314861E-2</v>
      </c>
      <c r="W16" s="9">
        <f t="shared" si="20"/>
        <v>135.467578921968</v>
      </c>
      <c r="X16" s="9">
        <f t="shared" si="4"/>
        <v>5.9327316992089291E-2</v>
      </c>
      <c r="Y16" s="2">
        <f t="shared" si="5"/>
        <v>15.408825500135496</v>
      </c>
      <c r="Z16" s="2">
        <f t="shared" si="6"/>
        <v>48.40825299167274</v>
      </c>
      <c r="AA16" s="10">
        <f t="shared" si="7"/>
        <v>0.74200994948155907</v>
      </c>
      <c r="AB16" s="2">
        <f t="shared" si="8"/>
        <v>2.7905939812546627</v>
      </c>
    </row>
    <row r="17" spans="1:28" s="2" customFormat="1" ht="14">
      <c r="A17" s="2">
        <v>110</v>
      </c>
      <c r="B17" s="2">
        <v>2700</v>
      </c>
      <c r="C17" s="2">
        <f t="shared" si="9"/>
        <v>3.1415926535897927</v>
      </c>
      <c r="D17" s="4">
        <v>7.5575744396577993E-2</v>
      </c>
      <c r="E17" s="4">
        <v>0.3895119781460793</v>
      </c>
      <c r="F17" s="4">
        <v>7.3159493874985632E-2</v>
      </c>
      <c r="G17" s="4">
        <v>4.8737151474508987E-4</v>
      </c>
      <c r="H17" s="3">
        <v>0.32865275073488326</v>
      </c>
      <c r="I17" s="5">
        <f t="shared" si="10"/>
        <v>9.9450355566279472E-2</v>
      </c>
      <c r="J17" s="5">
        <f t="shared" si="11"/>
        <v>0.51256001556110975</v>
      </c>
      <c r="K17" s="5">
        <f t="shared" si="12"/>
        <v>0.61201037112738921</v>
      </c>
      <c r="L17" s="5">
        <f t="shared" si="13"/>
        <v>0.12240207422547784</v>
      </c>
      <c r="M17" s="8">
        <f t="shared" si="14"/>
        <v>0.31686756288160317</v>
      </c>
      <c r="N17" s="8">
        <f t="shared" si="0"/>
        <v>0.35053386342652665</v>
      </c>
      <c r="O17" s="2">
        <f t="shared" si="1"/>
        <v>0.33113293286488371</v>
      </c>
      <c r="P17" s="2">
        <f t="shared" si="2"/>
        <v>-0.47949186600206956</v>
      </c>
      <c r="Q17" s="2">
        <f t="shared" si="15"/>
        <v>109.9413092010271</v>
      </c>
      <c r="R17" s="9">
        <f t="shared" si="16"/>
        <v>-5.8690798972898195E-2</v>
      </c>
      <c r="S17" s="9">
        <f t="shared" si="17"/>
        <v>109.88261840205419</v>
      </c>
      <c r="T17" s="9">
        <f t="shared" si="3"/>
        <v>117.05977020402544</v>
      </c>
      <c r="U17" s="9">
        <f t="shared" si="18"/>
        <v>-7.0210015097857334E-2</v>
      </c>
      <c r="V17" s="9">
        <f t="shared" si="19"/>
        <v>-2.3943036759111344E-2</v>
      </c>
      <c r="W17" s="9">
        <f t="shared" si="20"/>
        <v>73.53230615750806</v>
      </c>
      <c r="X17" s="9">
        <f t="shared" si="4"/>
        <v>7.4180288684323095E-2</v>
      </c>
      <c r="Y17" s="2">
        <f t="shared" si="5"/>
        <v>5.5572587750507472</v>
      </c>
      <c r="Z17" s="2">
        <f t="shared" si="6"/>
        <v>17.458643341796837</v>
      </c>
      <c r="AA17" s="10">
        <f t="shared" si="7"/>
        <v>1.3172492067979191</v>
      </c>
      <c r="AB17" s="2">
        <f t="shared" si="8"/>
        <v>11.390567298209676</v>
      </c>
    </row>
    <row r="18" spans="1:28" s="2" customFormat="1" ht="14">
      <c r="A18" s="2">
        <v>110</v>
      </c>
      <c r="B18" s="2">
        <v>2700</v>
      </c>
      <c r="C18" s="2">
        <f t="shared" si="9"/>
        <v>3.1415926535897927</v>
      </c>
      <c r="D18" s="4">
        <v>0.18710191219554007</v>
      </c>
      <c r="E18" s="4">
        <v>0.70724761307653583</v>
      </c>
      <c r="F18" s="4">
        <v>0.12314675734913624</v>
      </c>
      <c r="G18" s="4">
        <v>4.3282110267876649E-4</v>
      </c>
      <c r="H18" s="3">
        <v>0.1774188933580215</v>
      </c>
      <c r="I18" s="5">
        <f t="shared" si="10"/>
        <v>0.21865047106440438</v>
      </c>
      <c r="J18" s="5">
        <f t="shared" si="11"/>
        <v>0.8265015677485219</v>
      </c>
      <c r="K18" s="5">
        <f t="shared" si="12"/>
        <v>1.0451520388129263</v>
      </c>
      <c r="L18" s="5">
        <f t="shared" si="13"/>
        <v>0.20903040776258527</v>
      </c>
      <c r="M18" s="8">
        <f t="shared" si="14"/>
        <v>0.60852082299388965</v>
      </c>
      <c r="N18" s="8">
        <f t="shared" si="0"/>
        <v>0.60981669061853272</v>
      </c>
      <c r="O18" s="2">
        <f t="shared" si="1"/>
        <v>0.65062265018060716</v>
      </c>
      <c r="P18" s="2">
        <f t="shared" si="2"/>
        <v>-1.178310477901487</v>
      </c>
      <c r="Q18" s="2">
        <f t="shared" si="15"/>
        <v>109.75369728033333</v>
      </c>
      <c r="R18" s="9">
        <f t="shared" si="16"/>
        <v>-0.24630271966667455</v>
      </c>
      <c r="S18" s="9">
        <f t="shared" si="17"/>
        <v>109.50739456066665</v>
      </c>
      <c r="T18" s="9">
        <f t="shared" si="3"/>
        <v>133.88629883754379</v>
      </c>
      <c r="U18" s="9">
        <f t="shared" si="18"/>
        <v>-0.3974266455384548</v>
      </c>
      <c r="V18" s="9">
        <f t="shared" si="19"/>
        <v>-7.1260266890993365E-2</v>
      </c>
      <c r="W18" s="9">
        <f t="shared" si="20"/>
        <v>94.845702021921298</v>
      </c>
      <c r="X18" s="9">
        <f t="shared" si="4"/>
        <v>0.40376473870476132</v>
      </c>
      <c r="Y18" s="2">
        <f t="shared" si="5"/>
        <v>17.745812211829875</v>
      </c>
      <c r="Z18" s="2">
        <f t="shared" si="6"/>
        <v>55.750113276668763</v>
      </c>
      <c r="AA18" s="10">
        <f t="shared" si="7"/>
        <v>0.71839889987277683</v>
      </c>
      <c r="AB18" s="2">
        <f t="shared" si="8"/>
        <v>2.6855961249597113</v>
      </c>
    </row>
    <row r="19" spans="1:28" s="2" customFormat="1" ht="14">
      <c r="A19" s="2">
        <v>110</v>
      </c>
      <c r="B19" s="2">
        <v>2700</v>
      </c>
      <c r="C19" s="2">
        <f t="shared" si="9"/>
        <v>3.1415926535897927</v>
      </c>
      <c r="D19" s="4">
        <v>0.11812626373451977</v>
      </c>
      <c r="E19" s="4">
        <v>0.6864453814433269</v>
      </c>
      <c r="F19" s="4">
        <v>5.1429174907155234E-2</v>
      </c>
      <c r="G19" s="4">
        <v>3.8667362543718054E-4</v>
      </c>
      <c r="H19" s="3">
        <v>0.66276230796053737</v>
      </c>
      <c r="I19" s="5">
        <f t="shared" si="10"/>
        <v>0.12332603877545331</v>
      </c>
      <c r="J19" s="5">
        <f t="shared" si="11"/>
        <v>0.71666187562970862</v>
      </c>
      <c r="K19" s="5">
        <f t="shared" si="12"/>
        <v>0.83998791440516196</v>
      </c>
      <c r="L19" s="5">
        <f t="shared" si="13"/>
        <v>0.16799758288103239</v>
      </c>
      <c r="M19" s="8">
        <f t="shared" si="14"/>
        <v>0.68971901140314351</v>
      </c>
      <c r="N19" s="8">
        <f t="shared" si="0"/>
        <v>0.58924690538114743</v>
      </c>
      <c r="O19" s="2">
        <f t="shared" si="1"/>
        <v>0.3486216251216217</v>
      </c>
      <c r="P19" s="2">
        <f t="shared" si="2"/>
        <v>-0.83165265894385298</v>
      </c>
      <c r="Q19" s="2">
        <f t="shared" si="15"/>
        <v>109.86028436350085</v>
      </c>
      <c r="R19" s="9">
        <f t="shared" si="16"/>
        <v>-0.13971563649915092</v>
      </c>
      <c r="S19" s="9">
        <f t="shared" si="17"/>
        <v>109.72056872700171</v>
      </c>
      <c r="T19" s="9">
        <f t="shared" si="3"/>
        <v>132.14535087598281</v>
      </c>
      <c r="U19" s="9">
        <f t="shared" si="18"/>
        <v>-0.11334179830255893</v>
      </c>
      <c r="V19" s="9">
        <f t="shared" si="19"/>
        <v>-8.8467873758969126E-2</v>
      </c>
      <c r="W19" s="9">
        <f t="shared" si="20"/>
        <v>125.48737299399613</v>
      </c>
      <c r="X19" s="9">
        <f t="shared" si="4"/>
        <v>0.14378083297119559</v>
      </c>
      <c r="Y19" s="2">
        <f t="shared" si="5"/>
        <v>14.823354517640841</v>
      </c>
      <c r="Z19" s="2">
        <f t="shared" si="6"/>
        <v>46.568941654177529</v>
      </c>
      <c r="AA19" s="10">
        <f t="shared" si="7"/>
        <v>0.45045434263635414</v>
      </c>
      <c r="AB19" s="2">
        <f t="shared" si="8"/>
        <v>1.8041372170385594</v>
      </c>
    </row>
    <row r="20" spans="1:28" s="2" customFormat="1" ht="14">
      <c r="A20" s="2">
        <v>110</v>
      </c>
      <c r="B20" s="2">
        <v>2700</v>
      </c>
      <c r="C20" s="2">
        <f t="shared" si="9"/>
        <v>3.1415926535897927</v>
      </c>
      <c r="D20" s="4">
        <v>0.17516940869632891</v>
      </c>
      <c r="E20" s="4">
        <v>0.60271324291192219</v>
      </c>
      <c r="F20" s="4">
        <v>7.0248684091809968E-2</v>
      </c>
      <c r="G20" s="4">
        <v>4.2232501654328219E-4</v>
      </c>
      <c r="H20" s="3">
        <v>8.2646396588274537E-2</v>
      </c>
      <c r="I20" s="5">
        <f t="shared" si="10"/>
        <v>0.19974174324899596</v>
      </c>
      <c r="J20" s="5">
        <f t="shared" si="11"/>
        <v>0.68726037676580853</v>
      </c>
      <c r="K20" s="5">
        <f t="shared" si="12"/>
        <v>0.8870021200148045</v>
      </c>
      <c r="L20" s="5">
        <f t="shared" si="13"/>
        <v>0.17740042400296091</v>
      </c>
      <c r="M20" s="8">
        <f t="shared" si="14"/>
        <v>0.45449089711866431</v>
      </c>
      <c r="N20" s="8">
        <f t="shared" si="0"/>
        <v>0.47183690306524173</v>
      </c>
      <c r="O20" s="2">
        <f t="shared" si="1"/>
        <v>0.58066850405479009</v>
      </c>
      <c r="P20" s="2">
        <f t="shared" si="2"/>
        <v>-0.90264537915442988</v>
      </c>
      <c r="Q20" s="2">
        <f t="shared" si="15"/>
        <v>109.83987032701368</v>
      </c>
      <c r="R20" s="9">
        <f t="shared" si="16"/>
        <v>-0.16012967298630928</v>
      </c>
      <c r="S20" s="9">
        <f t="shared" si="17"/>
        <v>109.67974065402737</v>
      </c>
      <c r="T20" s="9">
        <f t="shared" si="3"/>
        <v>123.31376400669978</v>
      </c>
      <c r="U20" s="9">
        <f t="shared" si="18"/>
        <v>-0.34414538125367111</v>
      </c>
      <c r="V20" s="9">
        <f t="shared" si="19"/>
        <v>-2.8507310938796278E-2</v>
      </c>
      <c r="W20" s="9">
        <f t="shared" si="20"/>
        <v>64.92520061319459</v>
      </c>
      <c r="X20" s="9">
        <f t="shared" si="4"/>
        <v>0.34532406550253036</v>
      </c>
      <c r="Y20" s="2">
        <f t="shared" si="5"/>
        <v>11.372909000903828</v>
      </c>
      <c r="Z20" s="2">
        <f t="shared" si="6"/>
        <v>35.729047367184698</v>
      </c>
      <c r="AA20" s="10">
        <f t="shared" si="7"/>
        <v>0.41264403592952753</v>
      </c>
      <c r="AB20" s="2">
        <f t="shared" si="8"/>
        <v>1.7125902857234792</v>
      </c>
    </row>
    <row r="21" spans="1:28" s="2" customFormat="1" ht="14">
      <c r="A21" s="2">
        <v>110</v>
      </c>
      <c r="B21" s="2">
        <v>2700</v>
      </c>
      <c r="C21" s="2">
        <f t="shared" si="9"/>
        <v>3.1415926535897927</v>
      </c>
      <c r="D21" s="4">
        <v>0.1277461170270702</v>
      </c>
      <c r="E21" s="4">
        <v>0.58793873221023685</v>
      </c>
      <c r="F21" s="4">
        <v>6.0783743600080202E-2</v>
      </c>
      <c r="G21" s="4">
        <v>3.1509071574217437E-4</v>
      </c>
      <c r="H21" s="3">
        <v>1.1068208479869568</v>
      </c>
      <c r="I21" s="5">
        <f t="shared" si="10"/>
        <v>0.10867936170782642</v>
      </c>
      <c r="J21" s="5">
        <f t="shared" si="11"/>
        <v>0.50018589705060923</v>
      </c>
      <c r="K21" s="5">
        <f t="shared" si="12"/>
        <v>0.60886525875843567</v>
      </c>
      <c r="L21" s="5">
        <f t="shared" si="13"/>
        <v>0.12177305175168714</v>
      </c>
      <c r="M21" s="8">
        <f t="shared" si="14"/>
        <v>0.65479553847104344</v>
      </c>
      <c r="N21" s="8">
        <f t="shared" si="0"/>
        <v>0.54140305061043537</v>
      </c>
      <c r="O21" s="2">
        <f t="shared" si="1"/>
        <v>0.26272803567655212</v>
      </c>
      <c r="P21" s="2">
        <f t="shared" si="2"/>
        <v>-0.99488451712016701</v>
      </c>
      <c r="Q21" s="2">
        <f t="shared" si="15"/>
        <v>109.87884987620977</v>
      </c>
      <c r="R21" s="9">
        <f t="shared" si="16"/>
        <v>-0.12115012379022637</v>
      </c>
      <c r="S21" s="9">
        <f t="shared" si="17"/>
        <v>109.75769975241954</v>
      </c>
      <c r="T21" s="9">
        <f t="shared" si="3"/>
        <v>128.2153833518785</v>
      </c>
      <c r="U21" s="9">
        <f t="shared" si="18"/>
        <v>-6.131887775730914E-2</v>
      </c>
      <c r="V21" s="9">
        <f t="shared" si="19"/>
        <v>-0.12253729834164674</v>
      </c>
      <c r="W21" s="9">
        <f t="shared" si="20"/>
        <v>127.8312478553116</v>
      </c>
      <c r="X21" s="9">
        <f t="shared" si="4"/>
        <v>0.13702333470721534</v>
      </c>
      <c r="Y21" s="2">
        <f t="shared" si="5"/>
        <v>16.329945548241053</v>
      </c>
      <c r="Z21" s="2">
        <f t="shared" si="6"/>
        <v>51.302036967875431</v>
      </c>
      <c r="AA21" s="10">
        <f t="shared" si="7"/>
        <v>0.49589241664753952</v>
      </c>
      <c r="AB21" s="2">
        <f t="shared" si="8"/>
        <v>1.9226730165667709</v>
      </c>
    </row>
    <row r="22" spans="1:28" s="2" customFormat="1" ht="14">
      <c r="A22" s="2">
        <v>110</v>
      </c>
      <c r="B22" s="2">
        <v>2700</v>
      </c>
      <c r="C22" s="2">
        <f t="shared" si="9"/>
        <v>3.1415926535897927</v>
      </c>
      <c r="D22" s="4">
        <v>0.12213144416696851</v>
      </c>
      <c r="E22" s="4">
        <v>0.6387477816860353</v>
      </c>
      <c r="F22" s="4">
        <v>0.11917775300396667</v>
      </c>
      <c r="G22" s="4">
        <v>1.7547912482062175E-4</v>
      </c>
      <c r="H22" s="3">
        <v>1.5394443805475981</v>
      </c>
      <c r="I22" s="5">
        <f t="shared" si="10"/>
        <v>5.7865101125845309E-2</v>
      </c>
      <c r="J22" s="5">
        <f t="shared" si="11"/>
        <v>0.30263463462072338</v>
      </c>
      <c r="K22" s="5">
        <f t="shared" si="12"/>
        <v>0.36049973574656868</v>
      </c>
      <c r="L22" s="5">
        <f t="shared" si="13"/>
        <v>7.2099947149313739E-2</v>
      </c>
      <c r="M22" s="8">
        <f t="shared" si="14"/>
        <v>0.76888950918972709</v>
      </c>
      <c r="N22" s="8">
        <f t="shared" si="0"/>
        <v>0.65366009180844098</v>
      </c>
      <c r="O22" s="2">
        <f t="shared" si="1"/>
        <v>9.982175093785256E-2</v>
      </c>
      <c r="P22" s="2">
        <f t="shared" si="2"/>
        <v>-0.9592217194575321</v>
      </c>
      <c r="Q22" s="2">
        <f t="shared" si="15"/>
        <v>109.93084016472264</v>
      </c>
      <c r="R22" s="9">
        <f t="shared" si="16"/>
        <v>-6.9159835277361914E-2</v>
      </c>
      <c r="S22" s="9">
        <f t="shared" si="17"/>
        <v>109.86168032944528</v>
      </c>
      <c r="T22" s="9">
        <f t="shared" si="3"/>
        <v>138.47575733723326</v>
      </c>
      <c r="U22" s="9">
        <f t="shared" si="18"/>
        <v>-2.1864387212982227E-3</v>
      </c>
      <c r="V22" s="9">
        <f t="shared" si="19"/>
        <v>-6.9715681267311994E-2</v>
      </c>
      <c r="W22" s="9">
        <f t="shared" si="20"/>
        <v>112.51642387972122</v>
      </c>
      <c r="X22" s="9">
        <f t="shared" si="4"/>
        <v>6.9749958629718403E-2</v>
      </c>
      <c r="Y22" s="2">
        <f t="shared" si="5"/>
        <v>13.741793340933135</v>
      </c>
      <c r="Z22" s="2">
        <f t="shared" si="6"/>
        <v>43.171117007024669</v>
      </c>
      <c r="AA22" s="10">
        <f t="shared" si="7"/>
        <v>1.3504210009449336</v>
      </c>
      <c r="AB22" s="2">
        <f t="shared" si="8"/>
        <v>13.255646095918504</v>
      </c>
    </row>
    <row r="23" spans="1:28" s="2" customFormat="1" ht="14">
      <c r="A23" s="2">
        <v>110</v>
      </c>
      <c r="B23" s="2">
        <v>2700</v>
      </c>
      <c r="C23" s="2">
        <f t="shared" si="9"/>
        <v>3.1415926535897927</v>
      </c>
      <c r="D23" s="4">
        <v>0.18793660625394348</v>
      </c>
      <c r="E23" s="4">
        <v>0.49497185947375344</v>
      </c>
      <c r="F23" s="4">
        <v>5.3884123048499315E-2</v>
      </c>
      <c r="G23" s="4">
        <v>3.0075398529006277E-4</v>
      </c>
      <c r="H23" s="3">
        <v>1.5593566298725352</v>
      </c>
      <c r="I23" s="5">
        <f t="shared" si="10"/>
        <v>0.15261124494445966</v>
      </c>
      <c r="J23" s="5">
        <f t="shared" si="11"/>
        <v>0.40193485022654352</v>
      </c>
      <c r="K23" s="5">
        <f t="shared" si="12"/>
        <v>0.55454609517100317</v>
      </c>
      <c r="L23" s="5">
        <f t="shared" si="13"/>
        <v>0.11090921903420065</v>
      </c>
      <c r="M23" s="8">
        <f t="shared" si="14"/>
        <v>0.68365684730329024</v>
      </c>
      <c r="N23" s="8">
        <f t="shared" si="0"/>
        <v>0.50254885333250865</v>
      </c>
      <c r="O23" s="2">
        <f t="shared" si="1"/>
        <v>8.2431686380860361E-2</v>
      </c>
      <c r="P23" s="2">
        <f t="shared" si="2"/>
        <v>-1.1097399165067439</v>
      </c>
      <c r="Q23" s="2">
        <f t="shared" si="15"/>
        <v>109.87691961252916</v>
      </c>
      <c r="R23" s="9">
        <f t="shared" si="16"/>
        <v>-0.12308038747084199</v>
      </c>
      <c r="S23" s="9">
        <f t="shared" si="17"/>
        <v>109.75383922505833</v>
      </c>
      <c r="T23" s="9">
        <f t="shared" si="3"/>
        <v>125.37907318829551</v>
      </c>
      <c r="U23" s="9">
        <f t="shared" si="18"/>
        <v>-3.2381928299908295E-3</v>
      </c>
      <c r="V23" s="9">
        <f t="shared" si="19"/>
        <v>-0.28305396494052026</v>
      </c>
      <c r="W23" s="9">
        <f t="shared" si="20"/>
        <v>110.56056043147665</v>
      </c>
      <c r="X23" s="9">
        <f t="shared" si="4"/>
        <v>0.28307248711479094</v>
      </c>
      <c r="Y23" s="2">
        <f t="shared" si="5"/>
        <v>20.778376513025751</v>
      </c>
      <c r="Z23" s="2">
        <f t="shared" si="6"/>
        <v>65.277195006844394</v>
      </c>
      <c r="AA23" s="10">
        <f t="shared" si="7"/>
        <v>0.29079543585105627</v>
      </c>
      <c r="AB23" s="2">
        <f t="shared" si="8"/>
        <v>1.4543675522547974</v>
      </c>
    </row>
    <row r="24" spans="1:28" s="2" customFormat="1" ht="14">
      <c r="A24" s="2">
        <v>110</v>
      </c>
      <c r="B24" s="2">
        <v>2700</v>
      </c>
      <c r="C24" s="2">
        <f t="shared" si="9"/>
        <v>3.1415926535897927</v>
      </c>
      <c r="D24" s="4">
        <v>0.14674025865364412</v>
      </c>
      <c r="E24" s="4">
        <v>0.60371070084549416</v>
      </c>
      <c r="F24" s="4">
        <v>0.12962270156324046</v>
      </c>
      <c r="G24" s="4">
        <v>2.9467997381880202E-4</v>
      </c>
      <c r="H24" s="3">
        <v>0.30512494518395389</v>
      </c>
      <c r="I24" s="5">
        <f t="shared" si="10"/>
        <v>0.11675182206119424</v>
      </c>
      <c r="J24" s="5">
        <f t="shared" si="11"/>
        <v>0.48033392450205825</v>
      </c>
      <c r="K24" s="5">
        <f t="shared" si="12"/>
        <v>0.59708574656325253</v>
      </c>
      <c r="L24" s="5">
        <f t="shared" si="13"/>
        <v>0.11941714931265052</v>
      </c>
      <c r="M24" s="8">
        <f t="shared" si="14"/>
        <v>0.53531207768995348</v>
      </c>
      <c r="N24" s="8">
        <f t="shared" si="0"/>
        <v>0.55561106096609014</v>
      </c>
      <c r="O24" s="2">
        <f t="shared" si="1"/>
        <v>0.55698003341419722</v>
      </c>
      <c r="P24" s="2">
        <f t="shared" si="2"/>
        <v>-1.0609178274368121</v>
      </c>
      <c r="Q24" s="2">
        <f t="shared" si="15"/>
        <v>109.87330821739252</v>
      </c>
      <c r="R24" s="9">
        <f t="shared" si="16"/>
        <v>-0.12669178260747457</v>
      </c>
      <c r="S24" s="9">
        <f t="shared" si="17"/>
        <v>109.74661643478504</v>
      </c>
      <c r="T24" s="9">
        <f t="shared" si="3"/>
        <v>129.32687885437485</v>
      </c>
      <c r="U24" s="9">
        <f t="shared" si="18"/>
        <v>-0.16127769291002214</v>
      </c>
      <c r="V24" s="9">
        <f t="shared" si="19"/>
        <v>-5.0796112615919424E-2</v>
      </c>
      <c r="W24" s="9">
        <f t="shared" si="20"/>
        <v>98.07148927770443</v>
      </c>
      <c r="X24" s="9">
        <f t="shared" si="4"/>
        <v>0.16908796316494137</v>
      </c>
      <c r="Y24" s="2">
        <f t="shared" si="5"/>
        <v>14.391035703158435</v>
      </c>
      <c r="Z24" s="2">
        <f t="shared" si="6"/>
        <v>45.210772042590953</v>
      </c>
      <c r="AA24" s="10">
        <f t="shared" si="7"/>
        <v>1.0829575296611977</v>
      </c>
      <c r="AB24" s="2">
        <f t="shared" si="8"/>
        <v>5.4398171528141033</v>
      </c>
    </row>
    <row r="25" spans="1:28" s="2" customFormat="1" ht="14">
      <c r="A25" s="2">
        <v>110</v>
      </c>
      <c r="B25" s="2">
        <v>2700</v>
      </c>
      <c r="C25" s="2">
        <f t="shared" si="9"/>
        <v>3.1415926535897927</v>
      </c>
      <c r="D25" s="4">
        <v>9.5174365442690367E-2</v>
      </c>
      <c r="E25" s="4">
        <v>0.42668667185255005</v>
      </c>
      <c r="F25" s="4">
        <v>7.6047921027295642E-2</v>
      </c>
      <c r="G25" s="4">
        <v>2.9865797657939214E-4</v>
      </c>
      <c r="H25" s="3">
        <v>1.9393494024441849</v>
      </c>
      <c r="I25" s="5">
        <f t="shared" si="10"/>
        <v>7.6746375194422123E-2</v>
      </c>
      <c r="J25" s="5">
        <f t="shared" si="11"/>
        <v>0.34407012073196969</v>
      </c>
      <c r="K25" s="5">
        <f t="shared" si="12"/>
        <v>0.42081649592639181</v>
      </c>
      <c r="L25" s="5">
        <f t="shared" si="13"/>
        <v>8.4163299185278373E-2</v>
      </c>
      <c r="M25" s="8">
        <f t="shared" si="14"/>
        <v>0.56009313373726477</v>
      </c>
      <c r="N25" s="8">
        <f t="shared" si="0"/>
        <v>0.50081229978032338</v>
      </c>
      <c r="O25" s="2">
        <f t="shared" si="1"/>
        <v>-6.9659869539529878E-2</v>
      </c>
      <c r="P25" s="2">
        <f t="shared" si="2"/>
        <v>-0.64819894123084587</v>
      </c>
      <c r="Q25" s="2">
        <f t="shared" si="15"/>
        <v>109.94544543857761</v>
      </c>
      <c r="R25" s="9">
        <f t="shared" si="16"/>
        <v>-5.4554561422392352E-2</v>
      </c>
      <c r="S25" s="9">
        <f t="shared" si="17"/>
        <v>109.89089087715521</v>
      </c>
      <c r="T25" s="9">
        <f t="shared" si="3"/>
        <v>125.33782884848262</v>
      </c>
      <c r="U25" s="9">
        <f t="shared" si="18"/>
        <v>2.5971733735556661E-2</v>
      </c>
      <c r="V25" s="9">
        <f t="shared" si="19"/>
        <v>-6.7249527495472333E-2</v>
      </c>
      <c r="W25" s="9">
        <f t="shared" si="20"/>
        <v>80.881939743873644</v>
      </c>
      <c r="X25" s="9">
        <f t="shared" si="4"/>
        <v>7.2090428640665893E-2</v>
      </c>
      <c r="Y25" s="2">
        <f t="shared" si="5"/>
        <v>7.6978872908970928</v>
      </c>
      <c r="Z25" s="2">
        <f t="shared" si="6"/>
        <v>24.183626161244536</v>
      </c>
      <c r="AA25" s="10">
        <f t="shared" si="7"/>
        <v>0.92569335668566266</v>
      </c>
      <c r="AB25" s="2">
        <f t="shared" si="8"/>
        <v>3.8699088349536415</v>
      </c>
    </row>
    <row r="26" spans="1:28" s="2" customFormat="1" ht="14">
      <c r="A26" s="2">
        <v>110</v>
      </c>
      <c r="B26" s="2">
        <v>2700</v>
      </c>
      <c r="C26" s="2">
        <f t="shared" si="9"/>
        <v>3.1415926535897927</v>
      </c>
      <c r="D26" s="4">
        <v>0.1468485561730814</v>
      </c>
      <c r="E26" s="4">
        <v>0.74734778438112159</v>
      </c>
      <c r="F26" s="4">
        <v>0.10007880974008651</v>
      </c>
      <c r="G26" s="4">
        <v>2.2997616157324101E-4</v>
      </c>
      <c r="H26" s="3">
        <v>0.94164388345029526</v>
      </c>
      <c r="I26" s="5">
        <f t="shared" si="10"/>
        <v>9.1183501659395857E-2</v>
      </c>
      <c r="J26" s="5">
        <f t="shared" si="11"/>
        <v>0.46405487199303858</v>
      </c>
      <c r="K26" s="5">
        <f t="shared" si="12"/>
        <v>0.55523837365243445</v>
      </c>
      <c r="L26" s="5">
        <f t="shared" si="13"/>
        <v>0.11104767473048689</v>
      </c>
      <c r="M26" s="8">
        <f t="shared" si="14"/>
        <v>0.81308678918041977</v>
      </c>
      <c r="N26" s="8">
        <f t="shared" si="0"/>
        <v>0.67133820668646782</v>
      </c>
      <c r="O26" s="2">
        <f t="shared" si="1"/>
        <v>0.38043742385185353</v>
      </c>
      <c r="P26" s="2">
        <f t="shared" si="2"/>
        <v>-1.182516979129661</v>
      </c>
      <c r="Q26" s="2">
        <f t="shared" si="15"/>
        <v>109.86868423913833</v>
      </c>
      <c r="R26" s="9">
        <f t="shared" si="16"/>
        <v>-0.13131576086166855</v>
      </c>
      <c r="S26" s="9">
        <f t="shared" si="17"/>
        <v>109.73736847827666</v>
      </c>
      <c r="T26" s="9">
        <f t="shared" si="3"/>
        <v>140.31940422676107</v>
      </c>
      <c r="U26" s="9">
        <f t="shared" si="18"/>
        <v>-7.7768266146742884E-2</v>
      </c>
      <c r="V26" s="9">
        <f t="shared" si="19"/>
        <v>-0.10685134145376192</v>
      </c>
      <c r="W26" s="9">
        <f t="shared" si="20"/>
        <v>140.19456382658026</v>
      </c>
      <c r="X26" s="9">
        <f t="shared" si="4"/>
        <v>0.13215563699645602</v>
      </c>
      <c r="Y26" s="2">
        <f t="shared" si="5"/>
        <v>20.587369281248218</v>
      </c>
      <c r="Z26" s="2">
        <f t="shared" si="6"/>
        <v>64.677128090709573</v>
      </c>
      <c r="AA26" s="10">
        <f t="shared" si="7"/>
        <v>0.74982450529140088</v>
      </c>
      <c r="AB26" s="2">
        <f t="shared" si="8"/>
        <v>2.8266753758203338</v>
      </c>
    </row>
    <row r="27" spans="1:28" s="2" customFormat="1" ht="14">
      <c r="A27" s="2">
        <v>110</v>
      </c>
      <c r="B27" s="2">
        <v>2700</v>
      </c>
      <c r="C27" s="2">
        <f t="shared" si="9"/>
        <v>3.1415926535897927</v>
      </c>
      <c r="D27" s="4">
        <v>0.16183309740020579</v>
      </c>
      <c r="E27" s="4">
        <v>0.69366925338219776</v>
      </c>
      <c r="F27" s="4">
        <v>0.13786011960024808</v>
      </c>
      <c r="G27" s="4">
        <v>1.0327923024711781E-4</v>
      </c>
      <c r="H27" s="3">
        <v>8.0462657206234287E-2</v>
      </c>
      <c r="I27" s="5">
        <f t="shared" si="10"/>
        <v>4.5127793865600258E-2</v>
      </c>
      <c r="J27" s="5">
        <f t="shared" si="11"/>
        <v>0.19343239164559703</v>
      </c>
      <c r="K27" s="5">
        <f t="shared" si="12"/>
        <v>0.23856018551119729</v>
      </c>
      <c r="L27" s="5">
        <f t="shared" si="13"/>
        <v>4.7712037102239459E-2</v>
      </c>
      <c r="M27" s="8">
        <f t="shared" si="14"/>
        <v>0.59513541506116685</v>
      </c>
      <c r="N27" s="8">
        <f t="shared" si="0"/>
        <v>0.62401518926872324</v>
      </c>
      <c r="O27" s="2">
        <f t="shared" si="1"/>
        <v>0.53538378278582743</v>
      </c>
      <c r="P27" s="2">
        <f t="shared" si="2"/>
        <v>-0.88551903860587555</v>
      </c>
      <c r="Q27" s="2">
        <f t="shared" si="15"/>
        <v>109.95775008277531</v>
      </c>
      <c r="R27" s="9">
        <f t="shared" si="16"/>
        <v>-4.2249917224702949E-2</v>
      </c>
      <c r="S27" s="9">
        <f t="shared" si="17"/>
        <v>109.9155001655506</v>
      </c>
      <c r="T27" s="9">
        <f t="shared" si="3"/>
        <v>135.49288293403583</v>
      </c>
      <c r="U27" s="9">
        <f t="shared" si="18"/>
        <v>-7.1846201491959846E-2</v>
      </c>
      <c r="V27" s="9">
        <f t="shared" si="19"/>
        <v>-5.7934443968664061E-3</v>
      </c>
      <c r="W27" s="9">
        <f t="shared" si="20"/>
        <v>87.750077275485893</v>
      </c>
      <c r="X27" s="9">
        <f t="shared" si="4"/>
        <v>7.2079405288909507E-2</v>
      </c>
      <c r="Y27" s="2">
        <f t="shared" si="5"/>
        <v>14.200866802599293</v>
      </c>
      <c r="Z27" s="2">
        <f t="shared" si="6"/>
        <v>44.613338821653109</v>
      </c>
      <c r="AA27" s="10">
        <f t="shared" si="7"/>
        <v>1.0195378141747349</v>
      </c>
      <c r="AB27" s="2">
        <f t="shared" si="8"/>
        <v>4.6989462868475851</v>
      </c>
    </row>
    <row r="28" spans="1:28" s="2" customFormat="1" ht="14">
      <c r="A28" s="2">
        <v>110</v>
      </c>
      <c r="B28" s="2">
        <v>2700</v>
      </c>
      <c r="C28" s="2">
        <f t="shared" si="9"/>
        <v>3.1415926535897927</v>
      </c>
      <c r="D28" s="4">
        <v>0.1386467209881618</v>
      </c>
      <c r="E28" s="4">
        <v>0.72778918664731329</v>
      </c>
      <c r="F28" s="4">
        <v>0.11059239265903556</v>
      </c>
      <c r="G28" s="4">
        <v>2.1796983468829728E-4</v>
      </c>
      <c r="H28" s="3">
        <v>1.226056816361498</v>
      </c>
      <c r="I28" s="5">
        <f t="shared" si="10"/>
        <v>8.1596167705433084E-2</v>
      </c>
      <c r="J28" s="5">
        <f t="shared" si="11"/>
        <v>0.42831743949390205</v>
      </c>
      <c r="K28" s="5">
        <f t="shared" si="12"/>
        <v>0.50991360719933509</v>
      </c>
      <c r="L28" s="5">
        <f t="shared" si="13"/>
        <v>0.10198272143986703</v>
      </c>
      <c r="M28" s="8">
        <f t="shared" si="14"/>
        <v>0.83408848706211502</v>
      </c>
      <c r="N28" s="8">
        <f t="shared" si="0"/>
        <v>0.68333467841994666</v>
      </c>
      <c r="O28" s="2">
        <f t="shared" si="1"/>
        <v>0.24884457674033308</v>
      </c>
      <c r="P28" s="2">
        <f t="shared" si="2"/>
        <v>-1.1376526523202179</v>
      </c>
      <c r="Q28" s="2">
        <f t="shared" si="15"/>
        <v>109.88397908646309</v>
      </c>
      <c r="R28" s="9">
        <f t="shared" si="16"/>
        <v>-0.11602091353689868</v>
      </c>
      <c r="S28" s="9">
        <f t="shared" si="17"/>
        <v>109.76795817292619</v>
      </c>
      <c r="T28" s="9">
        <f t="shared" si="3"/>
        <v>141.69955724625027</v>
      </c>
      <c r="U28" s="9">
        <f t="shared" si="18"/>
        <v>-3.7734058751003587E-2</v>
      </c>
      <c r="V28" s="9">
        <f t="shared" si="19"/>
        <v>-0.10508583860669704</v>
      </c>
      <c r="W28" s="9">
        <f t="shared" si="20"/>
        <v>133.6541721532632</v>
      </c>
      <c r="X28" s="9">
        <f t="shared" si="4"/>
        <v>0.11165524020616752</v>
      </c>
      <c r="Y28" s="2">
        <f t="shared" si="5"/>
        <v>18.530712715437229</v>
      </c>
      <c r="Z28" s="2">
        <f t="shared" si="6"/>
        <v>58.215950932600556</v>
      </c>
      <c r="AA28" s="10">
        <f t="shared" si="7"/>
        <v>0.9233987087875164</v>
      </c>
      <c r="AB28" s="2">
        <f t="shared" si="8"/>
        <v>3.8526478414598984</v>
      </c>
    </row>
    <row r="29" spans="1:28" s="2" customFormat="1" ht="14">
      <c r="A29" s="2">
        <v>110</v>
      </c>
      <c r="B29" s="2">
        <v>2700</v>
      </c>
      <c r="C29" s="2">
        <f t="shared" si="9"/>
        <v>3.1415926535897927</v>
      </c>
      <c r="D29" s="4">
        <v>0.13178030858879136</v>
      </c>
      <c r="E29" s="4">
        <v>0.39995702246195974</v>
      </c>
      <c r="F29" s="4">
        <v>0.10520776270451684</v>
      </c>
      <c r="G29" s="4">
        <v>2.5806719949069133E-4</v>
      </c>
      <c r="H29" s="3">
        <v>0.90079736718606629</v>
      </c>
      <c r="I29" s="5">
        <f t="shared" si="10"/>
        <v>9.1822073000926901E-2</v>
      </c>
      <c r="J29" s="5">
        <f t="shared" si="11"/>
        <v>0.27868262949916239</v>
      </c>
      <c r="K29" s="5">
        <f t="shared" si="12"/>
        <v>0.37050470250008927</v>
      </c>
      <c r="L29" s="5">
        <f t="shared" si="13"/>
        <v>7.4100940500017851E-2</v>
      </c>
      <c r="M29" s="8">
        <f t="shared" si="14"/>
        <v>0.40195716766698691</v>
      </c>
      <c r="N29" s="8">
        <f t="shared" si="0"/>
        <v>0.38384034732231659</v>
      </c>
      <c r="O29" s="2">
        <f t="shared" si="1"/>
        <v>1.2239975178599438</v>
      </c>
      <c r="P29" s="2">
        <f t="shared" si="2"/>
        <v>-0.20539415902870484</v>
      </c>
      <c r="Q29" s="2">
        <f t="shared" si="15"/>
        <v>109.98478009964276</v>
      </c>
      <c r="R29" s="9">
        <f t="shared" si="16"/>
        <v>-1.5219900357237262E-2</v>
      </c>
      <c r="S29" s="9">
        <f t="shared" si="17"/>
        <v>109.96956019928552</v>
      </c>
      <c r="T29" s="9">
        <f t="shared" si="3"/>
        <v>118.61607734630893</v>
      </c>
      <c r="U29" s="9">
        <f t="shared" si="18"/>
        <v>-7.4161514238717322E-2</v>
      </c>
      <c r="V29" s="9">
        <f t="shared" si="19"/>
        <v>-9.3608434163803808E-2</v>
      </c>
      <c r="W29" s="9">
        <f t="shared" si="20"/>
        <v>113.79258494291244</v>
      </c>
      <c r="X29" s="9">
        <f t="shared" si="4"/>
        <v>0.11942557992649089</v>
      </c>
      <c r="Y29" s="2">
        <f t="shared" si="5"/>
        <v>14.995621958893254</v>
      </c>
      <c r="Z29" s="2">
        <f t="shared" si="6"/>
        <v>47.110135782068824</v>
      </c>
      <c r="AA29" s="10">
        <f t="shared" si="7"/>
        <v>0.92456225122323898</v>
      </c>
      <c r="AB29" s="2">
        <f t="shared" si="8"/>
        <v>3.8613850187499716</v>
      </c>
    </row>
    <row r="30" spans="1:28" s="2" customFormat="1" ht="14">
      <c r="A30" s="2">
        <v>110</v>
      </c>
      <c r="B30" s="2">
        <v>2700</v>
      </c>
      <c r="C30" s="2">
        <f t="shared" si="9"/>
        <v>3.1415926535897927</v>
      </c>
      <c r="D30" s="4">
        <v>0.15015604935850135</v>
      </c>
      <c r="E30" s="4">
        <v>0.50887102277887908</v>
      </c>
      <c r="F30" s="4">
        <v>0.1053937796570915</v>
      </c>
      <c r="G30" s="4">
        <v>2.2103572662458633E-4</v>
      </c>
      <c r="H30" s="3">
        <v>1.4146225178650775</v>
      </c>
      <c r="I30" s="5">
        <f t="shared" si="10"/>
        <v>8.9612598987990719E-2</v>
      </c>
      <c r="J30" s="5">
        <f t="shared" si="11"/>
        <v>0.30369242595094009</v>
      </c>
      <c r="K30" s="5">
        <f t="shared" si="12"/>
        <v>0.39330502493893083</v>
      </c>
      <c r="L30" s="5">
        <f t="shared" si="13"/>
        <v>7.8661004987786165E-2</v>
      </c>
      <c r="M30" s="8">
        <f t="shared" si="14"/>
        <v>0.64501998420917561</v>
      </c>
      <c r="N30" s="8">
        <f t="shared" si="0"/>
        <v>0.54195130174317019</v>
      </c>
      <c r="O30" s="2">
        <f t="shared" si="1"/>
        <v>0.22831996616842065</v>
      </c>
      <c r="P30" s="2">
        <f t="shared" si="2"/>
        <v>-0.9567551862702437</v>
      </c>
      <c r="Q30" s="2">
        <f t="shared" si="15"/>
        <v>109.92474067552071</v>
      </c>
      <c r="R30" s="9">
        <f t="shared" si="16"/>
        <v>-7.5259324479293926E-2</v>
      </c>
      <c r="S30" s="9">
        <f t="shared" si="17"/>
        <v>109.84948135104142</v>
      </c>
      <c r="T30" s="9">
        <f t="shared" si="3"/>
        <v>128.31125389668813</v>
      </c>
      <c r="U30" s="9">
        <f t="shared" si="18"/>
        <v>-2.0656321812986364E-2</v>
      </c>
      <c r="V30" s="9">
        <f t="shared" si="19"/>
        <v>-0.13118787696272219</v>
      </c>
      <c r="W30" s="9">
        <f t="shared" si="20"/>
        <v>118.88116688243244</v>
      </c>
      <c r="X30" s="9">
        <f t="shared" si="4"/>
        <v>0.13280415164002965</v>
      </c>
      <c r="Y30" s="2">
        <f t="shared" si="5"/>
        <v>17.850726362194763</v>
      </c>
      <c r="Z30" s="2">
        <f t="shared" si="6"/>
        <v>56.079710800712711</v>
      </c>
      <c r="AA30" s="10">
        <f t="shared" si="7"/>
        <v>0.77805448471899774</v>
      </c>
      <c r="AB30" s="2">
        <f t="shared" si="8"/>
        <v>2.9629454216307285</v>
      </c>
    </row>
    <row r="31" spans="1:28" s="2" customFormat="1" ht="14">
      <c r="A31" s="2">
        <v>110</v>
      </c>
      <c r="B31" s="2">
        <v>2700</v>
      </c>
      <c r="C31" s="2">
        <f t="shared" si="9"/>
        <v>3.1415926535897927</v>
      </c>
      <c r="D31" s="4">
        <v>0.16840337212117867</v>
      </c>
      <c r="E31" s="4">
        <v>0.70674751775030509</v>
      </c>
      <c r="F31" s="4">
        <v>0.12808159735223118</v>
      </c>
      <c r="G31" s="4">
        <v>3.1662408303559933E-4</v>
      </c>
      <c r="H31" s="3">
        <v>0.98497708817883634</v>
      </c>
      <c r="I31" s="5">
        <f t="shared" si="10"/>
        <v>0.14396552085052172</v>
      </c>
      <c r="J31" s="5">
        <f t="shared" si="11"/>
        <v>0.60418786881251607</v>
      </c>
      <c r="K31" s="5">
        <f t="shared" si="12"/>
        <v>0.74815338966303779</v>
      </c>
      <c r="L31" s="5">
        <f t="shared" si="13"/>
        <v>0.14963067793260756</v>
      </c>
      <c r="M31" s="8">
        <f t="shared" si="14"/>
        <v>0.7905465212300028</v>
      </c>
      <c r="N31" s="8">
        <f t="shared" si="0"/>
        <v>0.66137122489890632</v>
      </c>
      <c r="O31" s="2">
        <f t="shared" si="1"/>
        <v>0.464895934610559</v>
      </c>
      <c r="P31" s="2">
        <f t="shared" si="2"/>
        <v>-1.3462514512691577</v>
      </c>
      <c r="Q31" s="2">
        <f t="shared" si="15"/>
        <v>109.79855948267884</v>
      </c>
      <c r="R31" s="9">
        <f t="shared" si="16"/>
        <v>-0.20144051732116086</v>
      </c>
      <c r="S31" s="9">
        <f t="shared" si="17"/>
        <v>109.59711896535768</v>
      </c>
      <c r="T31" s="9">
        <f t="shared" si="3"/>
        <v>139.13508538386697</v>
      </c>
      <c r="U31" s="9">
        <f t="shared" si="18"/>
        <v>-0.13229445291034736</v>
      </c>
      <c r="V31" s="9">
        <f t="shared" si="19"/>
        <v>-0.19938351840425358</v>
      </c>
      <c r="W31" s="9">
        <f t="shared" si="20"/>
        <v>138.73817556443734</v>
      </c>
      <c r="X31" s="9">
        <f t="shared" si="4"/>
        <v>0.23928144450021074</v>
      </c>
      <c r="Y31" s="2">
        <f t="shared" si="5"/>
        <v>23.363976606991361</v>
      </c>
      <c r="Z31" s="2">
        <f t="shared" si="6"/>
        <v>73.400097267167837</v>
      </c>
      <c r="AA31" s="10">
        <f t="shared" si="7"/>
        <v>0.86418185426789651</v>
      </c>
      <c r="AB31" s="2">
        <f t="shared" si="8"/>
        <v>3.4459783598187648</v>
      </c>
    </row>
    <row r="32" spans="1:28" s="2" customFormat="1" ht="14">
      <c r="A32" s="2">
        <v>110</v>
      </c>
      <c r="B32" s="2">
        <v>2700</v>
      </c>
      <c r="C32" s="2">
        <f t="shared" si="9"/>
        <v>3.1415926535897927</v>
      </c>
      <c r="D32" s="4">
        <v>0.14756595356828361</v>
      </c>
      <c r="E32" s="4">
        <v>0.6328624968041513</v>
      </c>
      <c r="F32" s="4">
        <v>0.12624570136816071</v>
      </c>
      <c r="G32" s="4">
        <v>2.9078832489251068E-4</v>
      </c>
      <c r="H32" s="3">
        <v>1.4536750389229482</v>
      </c>
      <c r="I32" s="5">
        <f t="shared" si="10"/>
        <v>0.11585823241307544</v>
      </c>
      <c r="J32" s="5">
        <f t="shared" si="11"/>
        <v>0.49687836839902183</v>
      </c>
      <c r="K32" s="5">
        <f t="shared" si="12"/>
        <v>0.61273660081209724</v>
      </c>
      <c r="L32" s="5">
        <f t="shared" si="13"/>
        <v>0.12254732016241945</v>
      </c>
      <c r="M32" s="8">
        <f t="shared" si="14"/>
        <v>0.77838511021638657</v>
      </c>
      <c r="N32" s="8">
        <f t="shared" si="0"/>
        <v>0.64864962508673696</v>
      </c>
      <c r="O32" s="2">
        <f t="shared" si="1"/>
        <v>0.18078676242324096</v>
      </c>
      <c r="P32" s="2">
        <f t="shared" si="2"/>
        <v>-1.1023493242246258</v>
      </c>
      <c r="Q32" s="2">
        <f t="shared" si="15"/>
        <v>109.8649100444334</v>
      </c>
      <c r="R32" s="9">
        <f t="shared" si="16"/>
        <v>-0.13508995556658196</v>
      </c>
      <c r="S32" s="9">
        <f t="shared" si="17"/>
        <v>109.72982008886682</v>
      </c>
      <c r="T32" s="9">
        <f t="shared" si="3"/>
        <v>137.86531377345094</v>
      </c>
      <c r="U32" s="9">
        <f t="shared" si="18"/>
        <v>-1.9717656612929534E-2</v>
      </c>
      <c r="V32" s="9">
        <f t="shared" si="19"/>
        <v>-0.16758196661557992</v>
      </c>
      <c r="W32" s="9">
        <f t="shared" si="20"/>
        <v>118.84451037424937</v>
      </c>
      <c r="X32" s="9">
        <f t="shared" si="4"/>
        <v>0.16873796702891364</v>
      </c>
      <c r="Y32" s="2">
        <f t="shared" si="5"/>
        <v>17.537403499731884</v>
      </c>
      <c r="Z32" s="2">
        <f t="shared" si="6"/>
        <v>55.095377997797605</v>
      </c>
      <c r="AA32" s="10">
        <f t="shared" si="7"/>
        <v>1.0265553200147117</v>
      </c>
      <c r="AB32" s="2">
        <f t="shared" si="8"/>
        <v>4.7724291526210934</v>
      </c>
    </row>
    <row r="33" spans="1:28" s="2" customFormat="1" ht="14">
      <c r="A33" s="2">
        <v>110</v>
      </c>
      <c r="B33" s="2">
        <v>2700</v>
      </c>
      <c r="C33" s="2">
        <f t="shared" si="9"/>
        <v>3.1415926535897927</v>
      </c>
      <c r="D33" s="4">
        <v>6.954739953609701E-2</v>
      </c>
      <c r="E33" s="4">
        <v>0.40411809302799173</v>
      </c>
      <c r="F33" s="4">
        <v>6.2706537963449493E-2</v>
      </c>
      <c r="G33" s="4">
        <v>3.0002842419856222E-4</v>
      </c>
      <c r="H33" s="3">
        <v>1.9288314556401174</v>
      </c>
      <c r="I33" s="5">
        <f t="shared" si="10"/>
        <v>5.6338731062792108E-2</v>
      </c>
      <c r="J33" s="5">
        <f t="shared" si="11"/>
        <v>0.32736666953155413</v>
      </c>
      <c r="K33" s="5">
        <f t="shared" si="12"/>
        <v>0.38370540059434621</v>
      </c>
      <c r="L33" s="5">
        <f t="shared" si="13"/>
        <v>7.6741080118869251E-2</v>
      </c>
      <c r="M33" s="8">
        <f t="shared" si="14"/>
        <v>0.50287612202215182</v>
      </c>
      <c r="N33" s="8">
        <f t="shared" si="0"/>
        <v>0.46400391067948071</v>
      </c>
      <c r="O33" s="2">
        <f t="shared" si="1"/>
        <v>-5.0712429391212378E-2</v>
      </c>
      <c r="P33" s="2">
        <f t="shared" si="2"/>
        <v>-0.50860816126913067</v>
      </c>
      <c r="Q33" s="2">
        <f t="shared" si="15"/>
        <v>109.96096886034694</v>
      </c>
      <c r="R33" s="9">
        <f t="shared" si="16"/>
        <v>-3.9031139653065129E-2</v>
      </c>
      <c r="S33" s="9">
        <f t="shared" si="17"/>
        <v>109.92193772069388</v>
      </c>
      <c r="T33" s="9">
        <f t="shared" si="3"/>
        <v>122.96201421237997</v>
      </c>
      <c r="U33" s="9">
        <f t="shared" si="18"/>
        <v>1.3551729630202814E-2</v>
      </c>
      <c r="V33" s="9">
        <f t="shared" si="19"/>
        <v>-3.6218954998436373E-2</v>
      </c>
      <c r="W33" s="9">
        <f t="shared" si="20"/>
        <v>83.703803420621455</v>
      </c>
      <c r="X33" s="9">
        <f t="shared" si="4"/>
        <v>3.8671204754298465E-2</v>
      </c>
      <c r="Y33" s="2">
        <f t="shared" si="5"/>
        <v>5.8213818591848838</v>
      </c>
      <c r="Z33" s="2">
        <f t="shared" si="6"/>
        <v>18.28841048255612</v>
      </c>
      <c r="AA33" s="10">
        <f t="shared" si="7"/>
        <v>1.123540707872998</v>
      </c>
      <c r="AB33" s="2">
        <f t="shared" si="8"/>
        <v>6.0241546906946501</v>
      </c>
    </row>
    <row r="34" spans="1:28" s="2" customFormat="1" ht="14">
      <c r="A34" s="2">
        <v>110</v>
      </c>
      <c r="B34" s="2">
        <v>2700</v>
      </c>
      <c r="C34" s="2">
        <f t="shared" si="9"/>
        <v>3.1415926535897927</v>
      </c>
      <c r="D34" s="4">
        <v>0.17442478614405305</v>
      </c>
      <c r="E34" s="4">
        <v>0.73394808653965871</v>
      </c>
      <c r="F34" s="4">
        <v>0.11922275618488451</v>
      </c>
      <c r="G34" s="4">
        <v>2.0568533014807706E-4</v>
      </c>
      <c r="H34" s="3">
        <v>1.5009967635341526</v>
      </c>
      <c r="I34" s="5">
        <f t="shared" si="10"/>
        <v>9.6866873254927668E-2</v>
      </c>
      <c r="J34" s="5">
        <f t="shared" si="11"/>
        <v>0.40759835712693959</v>
      </c>
      <c r="K34" s="5">
        <f t="shared" si="12"/>
        <v>0.5044652303818673</v>
      </c>
      <c r="L34" s="5">
        <f t="shared" si="13"/>
        <v>0.10089304607637346</v>
      </c>
      <c r="M34" s="8">
        <f t="shared" si="14"/>
        <v>0.90934281773916803</v>
      </c>
      <c r="N34" s="8">
        <f t="shared" ref="N34:N65" si="21">ATAN($M34+$F34-$D34*SIN($H34))</f>
        <v>0.70713861514937848</v>
      </c>
      <c r="O34" s="2">
        <f t="shared" ref="O34:O65" si="22">($D34*$C34*COS($H34))+($D34*C34*($F34+$D34*COS($H34))*SIN($H34))/(SQRT($E34^2-($F34+$D34*COS($H34)^2)))</f>
        <v>0.14922396624346185</v>
      </c>
      <c r="P34" s="2">
        <f t="shared" ref="P34:P65" si="23">(-$D34*$C34^2*SIN($H34))+(-$D34*$C34^2*($F34+$D34*COS($H34))*COS($H34)+$D34^2*C34^2*(SIN($H34))^2)/SQRT($E34^2-($F34+$D34*COS($H34))^2)+($D34^2*C34^2*($F34+$D34*COS($H34))^2*(SIN($H34))^2)/($E34^2-($F34+$D34*COS($H34))^2)^3/2</f>
        <v>-1.3071492265478941</v>
      </c>
      <c r="Q34" s="2">
        <f t="shared" si="15"/>
        <v>109.8681177328572</v>
      </c>
      <c r="R34" s="9">
        <f t="shared" si="16"/>
        <v>-0.13188226714279261</v>
      </c>
      <c r="S34" s="9">
        <f t="shared" si="17"/>
        <v>109.7362354657144</v>
      </c>
      <c r="T34" s="9">
        <f t="shared" ref="T34:T65" si="24">($R34+$A34)/COS($N34)</f>
        <v>144.52073316247029</v>
      </c>
      <c r="U34" s="9">
        <f t="shared" si="18"/>
        <v>-1.163009409248766E-2</v>
      </c>
      <c r="V34" s="9">
        <f t="shared" si="19"/>
        <v>-0.16635062199765194</v>
      </c>
      <c r="W34" s="9">
        <f t="shared" si="20"/>
        <v>116.14871510889289</v>
      </c>
      <c r="X34" s="9">
        <f t="shared" ref="X34:X65" si="25">$I34*(C34^2)*$D34</f>
        <v>0.16675667461186011</v>
      </c>
      <c r="Y34" s="2">
        <f t="shared" ref="Y34:Y65" si="26">$W34*$D34</f>
        <v>20.259214793775186</v>
      </c>
      <c r="Z34" s="2">
        <f t="shared" ref="Z34:Z65" si="27">$Y34*C34</f>
        <v>63.646200363621773</v>
      </c>
      <c r="AA34" s="10">
        <f t="shared" ref="AA34:AA66" si="28">ASIN($F34/$D34)</f>
        <v>0.75257360380948046</v>
      </c>
      <c r="AB34" s="2">
        <f t="shared" ref="AB34:AB66" si="29">(PI()+2*$AA34)/(PI()-2*$AA34)</f>
        <v>2.8395323978869609</v>
      </c>
    </row>
    <row r="35" spans="1:28" s="2" customFormat="1" ht="14">
      <c r="A35" s="2">
        <v>110</v>
      </c>
      <c r="B35" s="2">
        <v>2700</v>
      </c>
      <c r="C35" s="2">
        <f t="shared" si="9"/>
        <v>3.1415926535897927</v>
      </c>
      <c r="D35" s="4">
        <v>0.18415540785227313</v>
      </c>
      <c r="E35" s="4">
        <v>0.56708787083297241</v>
      </c>
      <c r="F35" s="4">
        <v>0.13282337308517969</v>
      </c>
      <c r="G35" s="4">
        <v>3.766979874186256E-4</v>
      </c>
      <c r="H35" s="3">
        <v>0.96458156371424908</v>
      </c>
      <c r="I35" s="5">
        <f t="shared" si="10"/>
        <v>0.18730162307756013</v>
      </c>
      <c r="J35" s="5">
        <f t="shared" si="11"/>
        <v>0.57677632100719445</v>
      </c>
      <c r="K35" s="5">
        <f t="shared" si="12"/>
        <v>0.7640779440847546</v>
      </c>
      <c r="L35" s="5">
        <f t="shared" si="13"/>
        <v>0.15281558881695093</v>
      </c>
      <c r="M35" s="8">
        <f t="shared" si="14"/>
        <v>0.63539268709204366</v>
      </c>
      <c r="N35" s="8">
        <f t="shared" si="21"/>
        <v>0.55273541523702419</v>
      </c>
      <c r="O35" s="2">
        <f t="shared" si="22"/>
        <v>0.64437299422520056</v>
      </c>
      <c r="P35" s="2">
        <f t="shared" si="23"/>
        <v>-1.1897583793490274</v>
      </c>
      <c r="Q35" s="2">
        <f t="shared" si="15"/>
        <v>109.81818637270989</v>
      </c>
      <c r="R35" s="9">
        <f t="shared" si="16"/>
        <v>-0.18181362729012288</v>
      </c>
      <c r="S35" s="9">
        <f t="shared" si="17"/>
        <v>109.63637274541976</v>
      </c>
      <c r="T35" s="9">
        <f t="shared" si="24"/>
        <v>129.03216356121965</v>
      </c>
      <c r="U35" s="9">
        <f t="shared" si="18"/>
        <v>-0.19396274880786815</v>
      </c>
      <c r="V35" s="9">
        <f t="shared" si="19"/>
        <v>-0.27976764743730526</v>
      </c>
      <c r="W35" s="9">
        <f t="shared" si="20"/>
        <v>128.84768891839016</v>
      </c>
      <c r="X35" s="9">
        <f t="shared" si="25"/>
        <v>0.34042838377213569</v>
      </c>
      <c r="Y35" s="2">
        <f t="shared" si="26"/>
        <v>23.727998703588955</v>
      </c>
      <c r="Z35" s="2">
        <f t="shared" si="27"/>
        <v>74.543706411583187</v>
      </c>
      <c r="AA35" s="10">
        <f t="shared" si="28"/>
        <v>0.80561530125698</v>
      </c>
      <c r="AB35" s="2">
        <f t="shared" si="29"/>
        <v>3.1056855158964205</v>
      </c>
    </row>
    <row r="36" spans="1:28" s="2" customFormat="1" ht="14">
      <c r="A36" s="2">
        <v>110</v>
      </c>
      <c r="B36" s="2">
        <v>2700</v>
      </c>
      <c r="C36" s="2">
        <f t="shared" si="9"/>
        <v>3.1415926535897927</v>
      </c>
      <c r="D36" s="4">
        <v>0.1950627034990236</v>
      </c>
      <c r="E36" s="4">
        <v>0.6235607250659152</v>
      </c>
      <c r="F36" s="4">
        <v>0.11762658428149599</v>
      </c>
      <c r="G36" s="4">
        <v>2.2946706161642281E-4</v>
      </c>
      <c r="H36" s="3">
        <v>1.5076331871163318</v>
      </c>
      <c r="I36" s="5">
        <f t="shared" si="10"/>
        <v>0.12085325658776644</v>
      </c>
      <c r="J36" s="5">
        <f t="shared" si="11"/>
        <v>0.38633394776476043</v>
      </c>
      <c r="K36" s="5">
        <f t="shared" si="12"/>
        <v>0.50718720435252684</v>
      </c>
      <c r="L36" s="5">
        <f t="shared" si="13"/>
        <v>0.10143744087050538</v>
      </c>
      <c r="M36" s="8">
        <f t="shared" si="14"/>
        <v>0.81945481253063024</v>
      </c>
      <c r="N36" s="8">
        <f t="shared" si="21"/>
        <v>0.63862428554549378</v>
      </c>
      <c r="O36" s="2">
        <f t="shared" si="22"/>
        <v>0.19149911294899247</v>
      </c>
      <c r="P36" s="2">
        <f t="shared" si="23"/>
        <v>-1.272573097793317</v>
      </c>
      <c r="Q36" s="2">
        <f t="shared" si="15"/>
        <v>109.8709134416392</v>
      </c>
      <c r="R36" s="9">
        <f t="shared" si="16"/>
        <v>-0.12908655836080546</v>
      </c>
      <c r="S36" s="9">
        <f t="shared" si="17"/>
        <v>109.74182688327839</v>
      </c>
      <c r="T36" s="9">
        <f t="shared" si="24"/>
        <v>136.83976353551694</v>
      </c>
      <c r="U36" s="9">
        <f t="shared" si="18"/>
        <v>-1.468612558611782E-2</v>
      </c>
      <c r="V36" s="9">
        <f t="shared" si="19"/>
        <v>-0.23220172338488884</v>
      </c>
      <c r="W36" s="9">
        <f t="shared" si="20"/>
        <v>114.80054635865488</v>
      </c>
      <c r="X36" s="9">
        <f t="shared" si="25"/>
        <v>0.2326656885482766</v>
      </c>
      <c r="Y36" s="2">
        <f t="shared" si="26"/>
        <v>22.393304935884213</v>
      </c>
      <c r="Z36" s="2">
        <f t="shared" si="27"/>
        <v>70.350642276169893</v>
      </c>
      <c r="AA36" s="10">
        <f t="shared" si="28"/>
        <v>0.64728065965187509</v>
      </c>
      <c r="AB36" s="2">
        <f t="shared" si="29"/>
        <v>2.4017751570025787</v>
      </c>
    </row>
    <row r="37" spans="1:28" s="2" customFormat="1" ht="14">
      <c r="A37" s="2">
        <v>110</v>
      </c>
      <c r="B37" s="2">
        <v>2700</v>
      </c>
      <c r="C37" s="2">
        <f t="shared" si="9"/>
        <v>3.1415926535897927</v>
      </c>
      <c r="D37" s="4">
        <v>0.18113922328197096</v>
      </c>
      <c r="E37" s="4">
        <v>0.69075469732369765</v>
      </c>
      <c r="F37" s="4">
        <v>9.4633979770365251E-2</v>
      </c>
      <c r="G37" s="4">
        <v>3.1372688754881993E-4</v>
      </c>
      <c r="H37" s="3">
        <v>1.3638890314436041</v>
      </c>
      <c r="I37" s="5">
        <f t="shared" si="10"/>
        <v>0.15343626077981143</v>
      </c>
      <c r="J37" s="5">
        <f t="shared" si="11"/>
        <v>0.5851124673779452</v>
      </c>
      <c r="K37" s="5">
        <f t="shared" si="12"/>
        <v>0.73854872815775663</v>
      </c>
      <c r="L37" s="5">
        <f t="shared" si="13"/>
        <v>0.14770974563155134</v>
      </c>
      <c r="M37" s="8">
        <f t="shared" si="14"/>
        <v>0.84726484345082653</v>
      </c>
      <c r="N37" s="8">
        <f t="shared" si="21"/>
        <v>0.65279441133493787</v>
      </c>
      <c r="O37" s="2">
        <f t="shared" si="22"/>
        <v>0.23683612269395449</v>
      </c>
      <c r="P37" s="2">
        <f t="shared" si="23"/>
        <v>-1.3358761990174104</v>
      </c>
      <c r="Q37" s="2">
        <f t="shared" si="15"/>
        <v>109.8026780664479</v>
      </c>
      <c r="R37" s="9">
        <f t="shared" si="16"/>
        <v>-0.19732193355210534</v>
      </c>
      <c r="S37" s="9">
        <f t="shared" si="17"/>
        <v>109.60535613289579</v>
      </c>
      <c r="T37" s="9">
        <f t="shared" si="24"/>
        <v>138.22271161536528</v>
      </c>
      <c r="U37" s="9">
        <f t="shared" si="18"/>
        <v>-5.6352460841396654E-2</v>
      </c>
      <c r="V37" s="9">
        <f t="shared" si="19"/>
        <v>-0.26845836832288539</v>
      </c>
      <c r="W37" s="9">
        <f t="shared" si="20"/>
        <v>124.70846205583102</v>
      </c>
      <c r="X37" s="9">
        <f t="shared" si="25"/>
        <v>0.27430912373719385</v>
      </c>
      <c r="Y37" s="2">
        <f t="shared" si="26"/>
        <v>22.589593953482378</v>
      </c>
      <c r="Z37" s="2">
        <f t="shared" si="27"/>
        <v>70.967302411836641</v>
      </c>
      <c r="AA37" s="10">
        <f t="shared" si="28"/>
        <v>0.54970746535338866</v>
      </c>
      <c r="AB37" s="2">
        <f t="shared" si="29"/>
        <v>2.0767083769327317</v>
      </c>
    </row>
    <row r="38" spans="1:28" s="2" customFormat="1" ht="14">
      <c r="A38" s="2">
        <v>110</v>
      </c>
      <c r="B38" s="2">
        <v>2700</v>
      </c>
      <c r="C38" s="2">
        <f t="shared" si="9"/>
        <v>3.1415926535897927</v>
      </c>
      <c r="D38" s="4">
        <v>0.11856992277367416</v>
      </c>
      <c r="E38" s="4">
        <v>0.48086515191557799</v>
      </c>
      <c r="F38" s="4">
        <v>0.10912577456878612</v>
      </c>
      <c r="G38" s="4">
        <v>1.4031214797225134E-4</v>
      </c>
      <c r="H38" s="3">
        <v>1.1274845005207037</v>
      </c>
      <c r="I38" s="5">
        <f t="shared" si="10"/>
        <v>4.491936148305109E-2</v>
      </c>
      <c r="J38" s="5">
        <f t="shared" si="11"/>
        <v>0.18217230034574977</v>
      </c>
      <c r="K38" s="5">
        <f t="shared" si="12"/>
        <v>0.22709166182880086</v>
      </c>
      <c r="L38" s="5">
        <f t="shared" si="13"/>
        <v>4.5418332365760178E-2</v>
      </c>
      <c r="M38" s="8">
        <f t="shared" si="14"/>
        <v>0.54560719523489154</v>
      </c>
      <c r="N38" s="8">
        <f t="shared" si="21"/>
        <v>0.5010175675706372</v>
      </c>
      <c r="O38" s="2">
        <f t="shared" si="22"/>
        <v>0.32976624716187197</v>
      </c>
      <c r="P38" s="2">
        <f t="shared" si="23"/>
        <v>-0.81788180703560931</v>
      </c>
      <c r="Q38" s="2">
        <f t="shared" si="15"/>
        <v>109.96285317225215</v>
      </c>
      <c r="R38" s="9">
        <f t="shared" si="16"/>
        <v>-3.7146827747851836E-2</v>
      </c>
      <c r="S38" s="9">
        <f t="shared" si="17"/>
        <v>109.92570634450431</v>
      </c>
      <c r="T38" s="9">
        <f t="shared" si="24"/>
        <v>125.37176244154067</v>
      </c>
      <c r="U38" s="9">
        <f t="shared" si="18"/>
        <v>-2.2547470478857426E-2</v>
      </c>
      <c r="V38" s="9">
        <f t="shared" si="19"/>
        <v>-4.7485083589168871E-2</v>
      </c>
      <c r="W38" s="9">
        <f t="shared" si="20"/>
        <v>125.16307934810619</v>
      </c>
      <c r="X38" s="9">
        <f t="shared" si="25"/>
        <v>5.2566354148497897E-2</v>
      </c>
      <c r="Y38" s="2">
        <f t="shared" si="26"/>
        <v>14.840576652420202</v>
      </c>
      <c r="Z38" s="2">
        <f t="shared" si="27"/>
        <v>46.623046586279507</v>
      </c>
      <c r="AA38" s="10">
        <f t="shared" si="28"/>
        <v>1.1689733051203754</v>
      </c>
      <c r="AB38" s="2">
        <f t="shared" si="29"/>
        <v>6.8183490843750132</v>
      </c>
    </row>
    <row r="39" spans="1:28" s="2" customFormat="1" ht="14">
      <c r="A39" s="2">
        <v>110</v>
      </c>
      <c r="B39" s="2">
        <v>2700</v>
      </c>
      <c r="C39" s="2">
        <f t="shared" si="9"/>
        <v>3.1415926535897927</v>
      </c>
      <c r="D39" s="4">
        <v>0.13750718263655243</v>
      </c>
      <c r="E39" s="4">
        <v>0.45061603655441917</v>
      </c>
      <c r="F39" s="4">
        <v>0.13684274073009914</v>
      </c>
      <c r="G39" s="4">
        <v>1.2581885494198654E-4</v>
      </c>
      <c r="H39" s="3">
        <v>0.84882539129575851</v>
      </c>
      <c r="I39" s="5">
        <f t="shared" si="10"/>
        <v>4.6712689917200026E-2</v>
      </c>
      <c r="J39" s="5">
        <f t="shared" si="11"/>
        <v>0.15307918309198809</v>
      </c>
      <c r="K39" s="5">
        <f t="shared" si="12"/>
        <v>0.1997918730091881</v>
      </c>
      <c r="L39" s="5">
        <f t="shared" si="13"/>
        <v>3.9958374601837626E-2</v>
      </c>
      <c r="M39" s="8">
        <f t="shared" si="14"/>
        <v>0.46501056559677323</v>
      </c>
      <c r="N39" s="8">
        <f t="shared" si="21"/>
        <v>0.46256984836540055</v>
      </c>
      <c r="O39" s="2">
        <f t="shared" si="22"/>
        <v>1.2263920950433875</v>
      </c>
      <c r="P39" s="2">
        <f t="shared" si="23"/>
        <v>-0.4850322882103939</v>
      </c>
      <c r="Q39" s="2">
        <f t="shared" si="15"/>
        <v>109.9806188981337</v>
      </c>
      <c r="R39" s="9">
        <f t="shared" si="16"/>
        <v>-1.9381101866297393E-2</v>
      </c>
      <c r="S39" s="9">
        <f t="shared" si="17"/>
        <v>109.9612377962674</v>
      </c>
      <c r="T39" s="9">
        <f t="shared" si="24"/>
        <v>122.8959152308131</v>
      </c>
      <c r="U39" s="9">
        <f t="shared" si="18"/>
        <v>-4.1896028557819438E-2</v>
      </c>
      <c r="V39" s="9">
        <f t="shared" si="19"/>
        <v>-4.7578790982061955E-2</v>
      </c>
      <c r="W39" s="9">
        <f t="shared" si="20"/>
        <v>118.7842816739871</v>
      </c>
      <c r="X39" s="9">
        <f t="shared" si="25"/>
        <v>6.3395729826482491E-2</v>
      </c>
      <c r="Y39" s="2">
        <f t="shared" si="26"/>
        <v>16.333691914496629</v>
      </c>
      <c r="Z39" s="2">
        <f t="shared" si="27"/>
        <v>51.313806524581608</v>
      </c>
      <c r="AA39" s="10">
        <f t="shared" si="28"/>
        <v>1.4724505201970499</v>
      </c>
      <c r="AB39" s="2">
        <f t="shared" si="29"/>
        <v>30.944347830063769</v>
      </c>
    </row>
    <row r="40" spans="1:28" s="2" customFormat="1" ht="14">
      <c r="A40" s="2">
        <v>110</v>
      </c>
      <c r="B40" s="2">
        <v>2700</v>
      </c>
      <c r="C40" s="2">
        <f t="shared" si="9"/>
        <v>3.1415926535897927</v>
      </c>
      <c r="D40" s="4">
        <v>0.14258677319689808</v>
      </c>
      <c r="E40" s="4">
        <v>0.67212080496687809</v>
      </c>
      <c r="F40" s="4">
        <v>0.13903844986944247</v>
      </c>
      <c r="G40" s="4">
        <v>4.7538424868276733E-4</v>
      </c>
      <c r="H40" s="3">
        <v>1.1339905688634642</v>
      </c>
      <c r="I40" s="5">
        <f t="shared" si="10"/>
        <v>0.18301546633043037</v>
      </c>
      <c r="J40" s="5">
        <f t="shared" si="11"/>
        <v>0.86269223851173749</v>
      </c>
      <c r="K40" s="5">
        <f t="shared" si="12"/>
        <v>1.0457077048421679</v>
      </c>
      <c r="L40" s="5">
        <f t="shared" si="13"/>
        <v>0.2091415409684336</v>
      </c>
      <c r="M40" s="8">
        <f t="shared" si="14"/>
        <v>0.77010231915140326</v>
      </c>
      <c r="N40" s="8">
        <f t="shared" si="21"/>
        <v>0.6623901141942885</v>
      </c>
      <c r="O40" s="2">
        <f t="shared" si="22"/>
        <v>0.34049846964924624</v>
      </c>
      <c r="P40" s="2">
        <f t="shared" si="23"/>
        <v>-1.1565718744499813</v>
      </c>
      <c r="Q40" s="2">
        <f t="shared" si="15"/>
        <v>109.75811277593678</v>
      </c>
      <c r="R40" s="9">
        <f t="shared" si="16"/>
        <v>-0.2418872240632188</v>
      </c>
      <c r="S40" s="9">
        <f t="shared" si="17"/>
        <v>109.51622555187356</v>
      </c>
      <c r="T40" s="9">
        <f t="shared" si="24"/>
        <v>139.19428606689405</v>
      </c>
      <c r="U40" s="9">
        <f t="shared" si="18"/>
        <v>-0.10895714322667192</v>
      </c>
      <c r="V40" s="9">
        <f t="shared" si="19"/>
        <v>-0.23337081968135984</v>
      </c>
      <c r="W40" s="9">
        <f t="shared" si="20"/>
        <v>135.66759937007527</v>
      </c>
      <c r="X40" s="9">
        <f t="shared" si="25"/>
        <v>0.25755309848430724</v>
      </c>
      <c r="Y40" s="2">
        <f t="shared" si="26"/>
        <v>19.344405221548556</v>
      </c>
      <c r="Z40" s="2">
        <f t="shared" si="27"/>
        <v>60.772241332080966</v>
      </c>
      <c r="AA40" s="10">
        <f t="shared" si="28"/>
        <v>1.3472375425203322</v>
      </c>
      <c r="AB40" s="2">
        <f t="shared" si="29"/>
        <v>13.052646885623773</v>
      </c>
    </row>
    <row r="41" spans="1:28" s="2" customFormat="1" ht="14">
      <c r="A41" s="2">
        <v>110</v>
      </c>
      <c r="B41" s="2">
        <v>2700</v>
      </c>
      <c r="C41" s="2">
        <f t="shared" si="9"/>
        <v>3.1415926535897927</v>
      </c>
      <c r="D41" s="4">
        <v>0.18945720618726442</v>
      </c>
      <c r="E41" s="4">
        <v>0.68835038139320948</v>
      </c>
      <c r="F41" s="4">
        <v>8.9236263182319975E-2</v>
      </c>
      <c r="G41" s="4">
        <v>1.6696324592835749E-4</v>
      </c>
      <c r="H41" s="3">
        <v>1.7311206552399343</v>
      </c>
      <c r="I41" s="5">
        <f t="shared" si="10"/>
        <v>8.5407453295768154E-2</v>
      </c>
      <c r="J41" s="5">
        <f t="shared" si="11"/>
        <v>0.31030887783626943</v>
      </c>
      <c r="K41" s="5">
        <f t="shared" si="12"/>
        <v>0.39571633113203758</v>
      </c>
      <c r="L41" s="5">
        <f t="shared" si="13"/>
        <v>7.9143266226407522E-2</v>
      </c>
      <c r="M41" s="8">
        <f t="shared" si="14"/>
        <v>0.90259303458681694</v>
      </c>
      <c r="N41" s="8">
        <f t="shared" si="21"/>
        <v>0.67766200287837908</v>
      </c>
      <c r="O41" s="2">
        <f t="shared" si="22"/>
        <v>-3.877054576819558E-2</v>
      </c>
      <c r="P41" s="2">
        <f t="shared" si="23"/>
        <v>-1.3110514875573409</v>
      </c>
      <c r="Q41" s="2">
        <f t="shared" si="15"/>
        <v>109.8962391030837</v>
      </c>
      <c r="R41" s="9">
        <f t="shared" si="16"/>
        <v>-0.10376089691627824</v>
      </c>
      <c r="S41" s="9">
        <f t="shared" si="17"/>
        <v>109.79247820616742</v>
      </c>
      <c r="T41" s="9">
        <f t="shared" si="24"/>
        <v>141.06610592290369</v>
      </c>
      <c r="U41" s="9">
        <f t="shared" si="18"/>
        <v>2.5494351506967623E-2</v>
      </c>
      <c r="V41" s="9">
        <f t="shared" si="19"/>
        <v>-0.15765256498497626</v>
      </c>
      <c r="W41" s="9">
        <f t="shared" si="20"/>
        <v>94.367714272940788</v>
      </c>
      <c r="X41" s="9">
        <f t="shared" si="25"/>
        <v>0.15970063620757116</v>
      </c>
      <c r="Y41" s="2">
        <f t="shared" si="26"/>
        <v>17.878643500429398</v>
      </c>
      <c r="Z41" s="2">
        <f t="shared" si="27"/>
        <v>56.167415077099889</v>
      </c>
      <c r="AA41" s="10">
        <f t="shared" si="28"/>
        <v>0.49043553378939192</v>
      </c>
      <c r="AB41" s="2">
        <f t="shared" si="29"/>
        <v>1.9079106479327654</v>
      </c>
    </row>
    <row r="42" spans="1:28" s="2" customFormat="1" ht="14">
      <c r="A42" s="2">
        <v>110</v>
      </c>
      <c r="B42" s="2">
        <v>2700</v>
      </c>
      <c r="C42" s="2">
        <f t="shared" si="9"/>
        <v>3.1415926535897927</v>
      </c>
      <c r="D42" s="4">
        <v>7.7905007446080171E-2</v>
      </c>
      <c r="E42" s="4">
        <v>0.66162076951925552</v>
      </c>
      <c r="F42" s="4">
        <v>6.5149236088855839E-2</v>
      </c>
      <c r="G42" s="4">
        <v>2.1493808268761391E-4</v>
      </c>
      <c r="H42" s="3">
        <v>1.487868200618095</v>
      </c>
      <c r="I42" s="5">
        <f t="shared" si="10"/>
        <v>4.5210832917006845E-2</v>
      </c>
      <c r="J42" s="5">
        <f t="shared" si="11"/>
        <v>0.38396024910028576</v>
      </c>
      <c r="K42" s="5">
        <f t="shared" si="12"/>
        <v>0.42917108201729259</v>
      </c>
      <c r="L42" s="5">
        <f t="shared" si="13"/>
        <v>8.5834216403458521E-2</v>
      </c>
      <c r="M42" s="8">
        <f t="shared" si="14"/>
        <v>0.73758678860491411</v>
      </c>
      <c r="N42" s="8">
        <f t="shared" si="21"/>
        <v>0.62737291223358438</v>
      </c>
      <c r="O42" s="2">
        <f t="shared" si="22"/>
        <v>4.8904415833012457E-2</v>
      </c>
      <c r="P42" s="2">
        <f t="shared" si="23"/>
        <v>-0.68085313625698951</v>
      </c>
      <c r="Q42" s="2">
        <f t="shared" si="15"/>
        <v>109.94155950456356</v>
      </c>
      <c r="R42" s="9">
        <f t="shared" si="16"/>
        <v>-5.8440495436455867E-2</v>
      </c>
      <c r="S42" s="9">
        <f t="shared" si="17"/>
        <v>109.8831190091271</v>
      </c>
      <c r="T42" s="9">
        <f t="shared" si="24"/>
        <v>135.80200150387293</v>
      </c>
      <c r="U42" s="9">
        <f t="shared" si="18"/>
        <v>-2.8794635530642368E-3</v>
      </c>
      <c r="V42" s="9">
        <f t="shared" si="19"/>
        <v>-3.4642767126751371E-2</v>
      </c>
      <c r="W42" s="9">
        <f t="shared" si="20"/>
        <v>116.16706801863414</v>
      </c>
      <c r="X42" s="9">
        <f t="shared" si="25"/>
        <v>3.4762229855861533E-2</v>
      </c>
      <c r="Y42" s="2">
        <f t="shared" si="26"/>
        <v>9.0499962989809948</v>
      </c>
      <c r="Z42" s="2">
        <f t="shared" si="27"/>
        <v>28.431401887893507</v>
      </c>
      <c r="AA42" s="10">
        <f t="shared" si="28"/>
        <v>0.99043588464072818</v>
      </c>
      <c r="AB42" s="2">
        <f t="shared" si="29"/>
        <v>4.4131750295194188</v>
      </c>
    </row>
    <row r="43" spans="1:28" s="2" customFormat="1" ht="14">
      <c r="A43" s="2">
        <v>110</v>
      </c>
      <c r="B43" s="2">
        <v>2700</v>
      </c>
      <c r="C43" s="2">
        <f t="shared" si="9"/>
        <v>3.1415926535897927</v>
      </c>
      <c r="D43" s="4">
        <v>9.9493392711791251E-2</v>
      </c>
      <c r="E43" s="4">
        <v>0.3947647445778848</v>
      </c>
      <c r="F43" s="4">
        <v>5.4615768797414567E-2</v>
      </c>
      <c r="G43" s="4">
        <v>4.6511108568847356E-4</v>
      </c>
      <c r="H43" s="3">
        <v>1.1181612058590542</v>
      </c>
      <c r="I43" s="5">
        <f t="shared" si="10"/>
        <v>0.1249437957381294</v>
      </c>
      <c r="J43" s="5">
        <f t="shared" si="11"/>
        <v>0.49574553914381292</v>
      </c>
      <c r="K43" s="5">
        <f t="shared" si="12"/>
        <v>0.62068933488194233</v>
      </c>
      <c r="L43" s="5">
        <f t="shared" si="13"/>
        <v>0.12413786697638847</v>
      </c>
      <c r="M43" s="8">
        <f t="shared" si="14"/>
        <v>0.42904739531103619</v>
      </c>
      <c r="N43" s="8">
        <f t="shared" si="21"/>
        <v>0.37548685749785943</v>
      </c>
      <c r="O43" s="2">
        <f t="shared" si="22"/>
        <v>0.23290733931892826</v>
      </c>
      <c r="P43" s="2">
        <f t="shared" si="23"/>
        <v>-0.66493907174687095</v>
      </c>
      <c r="Q43" s="2">
        <f t="shared" si="15"/>
        <v>109.91745588196409</v>
      </c>
      <c r="R43" s="9">
        <f t="shared" si="16"/>
        <v>-8.2544118035916297E-2</v>
      </c>
      <c r="S43" s="9">
        <f t="shared" si="17"/>
        <v>109.83491176392818</v>
      </c>
      <c r="T43" s="9">
        <f t="shared" si="24"/>
        <v>118.14899195708384</v>
      </c>
      <c r="U43" s="9">
        <f t="shared" si="18"/>
        <v>-5.3656793067330205E-2</v>
      </c>
      <c r="V43" s="9">
        <f t="shared" si="19"/>
        <v>-0.11033472269183378</v>
      </c>
      <c r="W43" s="9">
        <f t="shared" si="20"/>
        <v>117.79756350545297</v>
      </c>
      <c r="X43" s="9">
        <f t="shared" si="25"/>
        <v>0.12268986296248829</v>
      </c>
      <c r="Y43" s="2">
        <f t="shared" si="26"/>
        <v>11.720079246340202</v>
      </c>
      <c r="Z43" s="2">
        <f t="shared" si="27"/>
        <v>36.819714859792569</v>
      </c>
      <c r="AA43" s="10">
        <f t="shared" si="28"/>
        <v>0.58109394303833539</v>
      </c>
      <c r="AB43" s="2">
        <f t="shared" si="29"/>
        <v>2.1742801726569714</v>
      </c>
    </row>
    <row r="44" spans="1:28" s="2" customFormat="1" ht="14">
      <c r="A44" s="2">
        <v>110</v>
      </c>
      <c r="B44" s="2">
        <v>2700</v>
      </c>
      <c r="C44" s="2">
        <f t="shared" si="9"/>
        <v>3.1415926535897927</v>
      </c>
      <c r="D44" s="4">
        <v>0.14211370572481094</v>
      </c>
      <c r="E44" s="4">
        <v>0.53904745932798293</v>
      </c>
      <c r="F44" s="4">
        <v>7.5884315094305169E-2</v>
      </c>
      <c r="G44" s="4">
        <v>3.6967516657738397E-4</v>
      </c>
      <c r="H44" s="3">
        <v>1.6798646039034322</v>
      </c>
      <c r="I44" s="5">
        <f t="shared" si="10"/>
        <v>0.14184695115922177</v>
      </c>
      <c r="J44" s="5">
        <f t="shared" si="11"/>
        <v>0.53803564016450678</v>
      </c>
      <c r="K44" s="5">
        <f t="shared" si="12"/>
        <v>0.67988259132372852</v>
      </c>
      <c r="L44" s="5">
        <f t="shared" si="13"/>
        <v>0.13597651826474572</v>
      </c>
      <c r="M44" s="8">
        <f t="shared" si="14"/>
        <v>0.69965978242374871</v>
      </c>
      <c r="N44" s="8">
        <f t="shared" si="21"/>
        <v>0.56524107817272284</v>
      </c>
      <c r="O44" s="2">
        <f t="shared" si="22"/>
        <v>9.4977294781435836E-3</v>
      </c>
      <c r="P44" s="2">
        <f t="shared" si="23"/>
        <v>-0.99411709697838591</v>
      </c>
      <c r="Q44" s="2">
        <f t="shared" si="15"/>
        <v>109.86482341840542</v>
      </c>
      <c r="R44" s="9">
        <f t="shared" si="16"/>
        <v>-0.13517658159457749</v>
      </c>
      <c r="S44" s="9">
        <f t="shared" si="17"/>
        <v>109.72964683681084</v>
      </c>
      <c r="T44" s="9">
        <f t="shared" si="24"/>
        <v>130.10076098687412</v>
      </c>
      <c r="U44" s="9">
        <f t="shared" si="18"/>
        <v>2.165672456589085E-2</v>
      </c>
      <c r="V44" s="9">
        <f t="shared" si="19"/>
        <v>-0.19777318964999516</v>
      </c>
      <c r="W44" s="9">
        <f t="shared" si="20"/>
        <v>101.62669337226508</v>
      </c>
      <c r="X44" s="9">
        <f t="shared" si="25"/>
        <v>0.19895539264683379</v>
      </c>
      <c r="Y44" s="2">
        <f t="shared" si="26"/>
        <v>14.442545995691674</v>
      </c>
      <c r="Z44" s="2">
        <f t="shared" si="27"/>
        <v>45.37259639919764</v>
      </c>
      <c r="AA44" s="10">
        <f t="shared" si="28"/>
        <v>0.56328790065401857</v>
      </c>
      <c r="AB44" s="2">
        <f t="shared" si="29"/>
        <v>2.1181800291469823</v>
      </c>
    </row>
    <row r="45" spans="1:28" s="2" customFormat="1" ht="14">
      <c r="A45" s="2">
        <v>110</v>
      </c>
      <c r="B45" s="2">
        <v>2700</v>
      </c>
      <c r="C45" s="2">
        <f t="shared" si="9"/>
        <v>3.1415926535897927</v>
      </c>
      <c r="D45" s="4">
        <v>5.5936654763093285E-2</v>
      </c>
      <c r="E45" s="4">
        <v>0.75640472799861025</v>
      </c>
      <c r="F45" s="4">
        <v>5.1535787263625898E-2</v>
      </c>
      <c r="G45" s="4">
        <v>3.2272501230353015E-4</v>
      </c>
      <c r="H45" s="3">
        <v>2.0070688022492282</v>
      </c>
      <c r="I45" s="5">
        <f t="shared" si="10"/>
        <v>4.8740825510921522E-2</v>
      </c>
      <c r="J45" s="5">
        <f t="shared" si="11"/>
        <v>0.6590989579044596</v>
      </c>
      <c r="K45" s="5">
        <f t="shared" si="12"/>
        <v>0.70783978341538112</v>
      </c>
      <c r="L45" s="5">
        <f t="shared" si="13"/>
        <v>0.14156795668307623</v>
      </c>
      <c r="M45" s="8">
        <f t="shared" si="14"/>
        <v>0.82428683955890736</v>
      </c>
      <c r="N45" s="8">
        <f t="shared" si="21"/>
        <v>0.68987464724912051</v>
      </c>
      <c r="O45" s="2">
        <f t="shared" si="22"/>
        <v>-6.8038955207303464E-2</v>
      </c>
      <c r="P45" s="2">
        <f t="shared" si="23"/>
        <v>-0.45813942248314699</v>
      </c>
      <c r="Q45" s="2">
        <f t="shared" si="15"/>
        <v>109.93514213808311</v>
      </c>
      <c r="R45" s="9">
        <f t="shared" si="16"/>
        <v>-6.4857861916903708E-2</v>
      </c>
      <c r="S45" s="9">
        <f t="shared" si="17"/>
        <v>109.8702842761662</v>
      </c>
      <c r="T45" s="9">
        <f t="shared" si="24"/>
        <v>142.52750530204167</v>
      </c>
      <c r="U45" s="9">
        <f t="shared" si="18"/>
        <v>1.1370554433147948E-2</v>
      </c>
      <c r="V45" s="9">
        <f t="shared" si="19"/>
        <v>-2.4388042581051917E-2</v>
      </c>
      <c r="W45" s="9">
        <f t="shared" si="20"/>
        <v>61.306955255528507</v>
      </c>
      <c r="X45" s="9">
        <f t="shared" si="25"/>
        <v>2.6908476899527068E-2</v>
      </c>
      <c r="Y45" s="2">
        <f t="shared" si="26"/>
        <v>3.4293059907049055</v>
      </c>
      <c r="Z45" s="2">
        <f t="shared" si="27"/>
        <v>10.773482507309996</v>
      </c>
      <c r="AA45" s="10">
        <f t="shared" si="28"/>
        <v>1.1714724672251795</v>
      </c>
      <c r="AB45" s="2">
        <f t="shared" si="29"/>
        <v>6.8672800993533158</v>
      </c>
    </row>
    <row r="46" spans="1:28" s="2" customFormat="1" ht="14">
      <c r="A46" s="2">
        <v>110</v>
      </c>
      <c r="B46" s="2">
        <v>2700</v>
      </c>
      <c r="C46" s="2">
        <f t="shared" si="9"/>
        <v>3.1415926535897927</v>
      </c>
      <c r="D46" s="4">
        <v>9.8508647797054233E-2</v>
      </c>
      <c r="E46" s="4">
        <v>0.61614197207467669</v>
      </c>
      <c r="F46" s="4">
        <v>9.5979595873612406E-2</v>
      </c>
      <c r="G46" s="4">
        <v>4.7315170871891016E-4</v>
      </c>
      <c r="H46" s="3">
        <v>1.8088290026490512</v>
      </c>
      <c r="I46" s="5">
        <f t="shared" si="10"/>
        <v>0.1258457445776669</v>
      </c>
      <c r="J46" s="5">
        <f t="shared" si="11"/>
        <v>0.78712729263154524</v>
      </c>
      <c r="K46" s="5">
        <f t="shared" si="12"/>
        <v>0.91297303720921219</v>
      </c>
      <c r="L46" s="5">
        <f t="shared" si="13"/>
        <v>0.18259460744184244</v>
      </c>
      <c r="M46" s="8">
        <f t="shared" si="14"/>
        <v>0.73765823879172321</v>
      </c>
      <c r="N46" s="8">
        <f t="shared" si="21"/>
        <v>0.63571640517709604</v>
      </c>
      <c r="O46" s="2">
        <f t="shared" si="22"/>
        <v>-3.1486390209641738E-2</v>
      </c>
      <c r="P46" s="2">
        <f t="shared" si="23"/>
        <v>-0.76517145339713488</v>
      </c>
      <c r="Q46" s="2">
        <f t="shared" si="15"/>
        <v>109.86028381884124</v>
      </c>
      <c r="R46" s="9">
        <f t="shared" si="16"/>
        <v>-0.13971618115875389</v>
      </c>
      <c r="S46" s="9">
        <f t="shared" si="17"/>
        <v>109.72056763768248</v>
      </c>
      <c r="T46" s="9">
        <f t="shared" si="24"/>
        <v>136.53235192392944</v>
      </c>
      <c r="U46" s="9">
        <f t="shared" si="18"/>
        <v>2.8849632647258878E-2</v>
      </c>
      <c r="V46" s="9">
        <f t="shared" si="19"/>
        <v>-0.11890255876247853</v>
      </c>
      <c r="W46" s="9">
        <f t="shared" si="20"/>
        <v>87.647829565977673</v>
      </c>
      <c r="X46" s="9">
        <f t="shared" si="25"/>
        <v>0.12235244085896467</v>
      </c>
      <c r="Y46" s="2">
        <f t="shared" si="26"/>
        <v>8.634069172891131</v>
      </c>
      <c r="Z46" s="2">
        <f t="shared" si="27"/>
        <v>27.124728284140875</v>
      </c>
      <c r="AA46" s="10">
        <f t="shared" si="28"/>
        <v>1.3437103857366395</v>
      </c>
      <c r="AB46" s="2">
        <f t="shared" si="29"/>
        <v>12.834377588279862</v>
      </c>
    </row>
    <row r="47" spans="1:28" s="2" customFormat="1" ht="14">
      <c r="A47" s="2">
        <v>110</v>
      </c>
      <c r="B47" s="2">
        <v>2700</v>
      </c>
      <c r="C47" s="2">
        <f t="shared" si="9"/>
        <v>3.1415926535897927</v>
      </c>
      <c r="D47" s="4">
        <v>6.4215110387579877E-2</v>
      </c>
      <c r="E47" s="4">
        <v>0.32160193605403264</v>
      </c>
      <c r="F47" s="4">
        <v>5.3341348173124054E-2</v>
      </c>
      <c r="G47" s="4">
        <v>1.0350984119788574E-4</v>
      </c>
      <c r="H47" s="3">
        <v>1.1071680118677552</v>
      </c>
      <c r="I47" s="5">
        <f t="shared" si="10"/>
        <v>1.7946618872552358E-2</v>
      </c>
      <c r="J47" s="5">
        <f t="shared" si="11"/>
        <v>8.9880206390690914E-2</v>
      </c>
      <c r="K47" s="5">
        <f t="shared" si="12"/>
        <v>0.10782682526324328</v>
      </c>
      <c r="L47" s="5">
        <f t="shared" si="13"/>
        <v>2.1565365052648656E-2</v>
      </c>
      <c r="M47" s="8">
        <f t="shared" si="14"/>
        <v>0.3359256887000639</v>
      </c>
      <c r="N47" s="8">
        <f t="shared" si="21"/>
        <v>0.320397613142338</v>
      </c>
      <c r="O47" s="2">
        <f t="shared" si="22"/>
        <v>0.16693964859198002</v>
      </c>
      <c r="P47" s="2">
        <f t="shared" si="23"/>
        <v>-0.41570911184377968</v>
      </c>
      <c r="Q47" s="2">
        <f t="shared" si="15"/>
        <v>109.99103508124738</v>
      </c>
      <c r="R47" s="9">
        <f t="shared" si="16"/>
        <v>-8.9649187526234572E-3</v>
      </c>
      <c r="S47" s="9">
        <f t="shared" si="17"/>
        <v>109.98207016249475</v>
      </c>
      <c r="T47" s="9">
        <f t="shared" si="24"/>
        <v>115.88857362140681</v>
      </c>
      <c r="U47" s="9">
        <f t="shared" si="18"/>
        <v>-5.0864860478008435E-3</v>
      </c>
      <c r="V47" s="9">
        <f t="shared" si="19"/>
        <v>-1.0173462809720001E-2</v>
      </c>
      <c r="W47" s="9">
        <f t="shared" si="20"/>
        <v>114.70187545667935</v>
      </c>
      <c r="X47" s="9">
        <f t="shared" si="25"/>
        <v>1.1374167479654439E-2</v>
      </c>
      <c r="Y47" s="2">
        <f t="shared" si="26"/>
        <v>7.3655935941131032</v>
      </c>
      <c r="Z47" s="2">
        <f t="shared" si="27"/>
        <v>23.139694724593763</v>
      </c>
      <c r="AA47" s="10">
        <f t="shared" si="28"/>
        <v>0.98030390094534392</v>
      </c>
      <c r="AB47" s="2">
        <f t="shared" si="29"/>
        <v>4.3202928878722267</v>
      </c>
    </row>
    <row r="48" spans="1:28" s="2" customFormat="1" ht="14">
      <c r="A48" s="2">
        <v>110</v>
      </c>
      <c r="B48" s="2">
        <v>2700</v>
      </c>
      <c r="C48" s="2">
        <f t="shared" si="9"/>
        <v>3.1415926535897927</v>
      </c>
      <c r="D48" s="4">
        <v>0.15122918095148602</v>
      </c>
      <c r="E48" s="4">
        <v>0.67254290777865267</v>
      </c>
      <c r="F48" s="4">
        <v>0.14007279288430741</v>
      </c>
      <c r="G48" s="4">
        <v>4.1070881699989132E-4</v>
      </c>
      <c r="H48" s="3">
        <v>1.6872861945232924</v>
      </c>
      <c r="I48" s="5">
        <f t="shared" si="10"/>
        <v>0.16770012661200778</v>
      </c>
      <c r="J48" s="5">
        <f t="shared" si="11"/>
        <v>0.74579211549568103</v>
      </c>
      <c r="K48" s="5">
        <f t="shared" si="12"/>
        <v>0.91349224210768876</v>
      </c>
      <c r="L48" s="5">
        <f t="shared" si="13"/>
        <v>0.18269844842153776</v>
      </c>
      <c r="M48" s="8">
        <f t="shared" si="14"/>
        <v>0.84985503037720034</v>
      </c>
      <c r="N48" s="8">
        <f t="shared" si="21"/>
        <v>0.69849772721927073</v>
      </c>
      <c r="O48" s="2">
        <f t="shared" si="22"/>
        <v>4.8565582758858993E-2</v>
      </c>
      <c r="P48" s="2">
        <f t="shared" si="23"/>
        <v>-1.0936251455915569</v>
      </c>
      <c r="Q48" s="2">
        <f t="shared" si="15"/>
        <v>109.80019638274564</v>
      </c>
      <c r="R48" s="9">
        <f t="shared" si="16"/>
        <v>-0.19980361725435578</v>
      </c>
      <c r="S48" s="9">
        <f t="shared" si="17"/>
        <v>109.60039276549128</v>
      </c>
      <c r="T48" s="9">
        <f t="shared" si="24"/>
        <v>143.37802240159456</v>
      </c>
      <c r="U48" s="9">
        <f t="shared" si="18"/>
        <v>2.9092043083117237E-2</v>
      </c>
      <c r="V48" s="9">
        <f t="shared" si="19"/>
        <v>-0.24860816235244834</v>
      </c>
      <c r="W48" s="9">
        <f t="shared" si="20"/>
        <v>98.339748215408065</v>
      </c>
      <c r="X48" s="9">
        <f t="shared" si="25"/>
        <v>0.2503045452224375</v>
      </c>
      <c r="Y48" s="2">
        <f t="shared" si="26"/>
        <v>14.871839577591521</v>
      </c>
      <c r="Z48" s="2">
        <f t="shared" si="27"/>
        <v>46.721261962327446</v>
      </c>
      <c r="AA48" s="10">
        <f t="shared" si="28"/>
        <v>1.1842818706288125</v>
      </c>
      <c r="AB48" s="2">
        <f t="shared" si="29"/>
        <v>7.1280081597772389</v>
      </c>
    </row>
    <row r="49" spans="1:28" s="2" customFormat="1" ht="14">
      <c r="A49" s="2">
        <v>110</v>
      </c>
      <c r="B49" s="2">
        <v>2700</v>
      </c>
      <c r="C49" s="2">
        <f t="shared" si="9"/>
        <v>3.1415926535897927</v>
      </c>
      <c r="D49" s="4">
        <v>9.9756773766425055E-2</v>
      </c>
      <c r="E49" s="4">
        <v>0.48943209269685672</v>
      </c>
      <c r="F49" s="4">
        <v>6.0698232554668843E-2</v>
      </c>
      <c r="G49" s="4">
        <v>2.897432450971969E-4</v>
      </c>
      <c r="H49" s="3">
        <v>1.8474230601808819</v>
      </c>
      <c r="I49" s="5">
        <f t="shared" si="10"/>
        <v>7.8040398649079468E-2</v>
      </c>
      <c r="J49" s="5">
        <f t="shared" si="11"/>
        <v>0.38288603554028822</v>
      </c>
      <c r="K49" s="5">
        <f t="shared" si="12"/>
        <v>0.46092643418936768</v>
      </c>
      <c r="L49" s="5">
        <f t="shared" si="13"/>
        <v>9.218528683787354E-2</v>
      </c>
      <c r="M49" s="8">
        <f t="shared" si="14"/>
        <v>0.61603427282508361</v>
      </c>
      <c r="N49" s="8">
        <f t="shared" si="21"/>
        <v>0.52615847892239354</v>
      </c>
      <c r="O49" s="2">
        <f t="shared" si="22"/>
        <v>-6.1231387950841792E-2</v>
      </c>
      <c r="P49" s="2">
        <f t="shared" si="23"/>
        <v>-0.73881269704852959</v>
      </c>
      <c r="Q49" s="2">
        <f t="shared" si="15"/>
        <v>109.93189233960312</v>
      </c>
      <c r="R49" s="9">
        <f t="shared" si="16"/>
        <v>-6.8107660396881667E-2</v>
      </c>
      <c r="S49" s="9">
        <f t="shared" si="17"/>
        <v>109.86378467920625</v>
      </c>
      <c r="T49" s="9">
        <f t="shared" si="24"/>
        <v>127.12670515327954</v>
      </c>
      <c r="U49" s="9">
        <f t="shared" si="18"/>
        <v>2.0984696789790411E-2</v>
      </c>
      <c r="V49" s="9">
        <f t="shared" si="19"/>
        <v>-7.3914331161401142E-2</v>
      </c>
      <c r="W49" s="9">
        <f t="shared" si="20"/>
        <v>88.315687448933829</v>
      </c>
      <c r="X49" s="9">
        <f t="shared" si="25"/>
        <v>7.6835446575110863E-2</v>
      </c>
      <c r="Y49" s="2">
        <f t="shared" si="26"/>
        <v>8.8100880528695971</v>
      </c>
      <c r="Z49" s="2">
        <f t="shared" si="27"/>
        <v>27.677707904374326</v>
      </c>
      <c r="AA49" s="10">
        <f t="shared" si="28"/>
        <v>0.65412143654901145</v>
      </c>
      <c r="AB49" s="2">
        <f t="shared" si="29"/>
        <v>2.4271612400630995</v>
      </c>
    </row>
    <row r="50" spans="1:28" s="2" customFormat="1" ht="14">
      <c r="A50" s="2">
        <v>110</v>
      </c>
      <c r="B50" s="2">
        <v>2700</v>
      </c>
      <c r="C50" s="2">
        <f t="shared" si="9"/>
        <v>3.1415926535897927</v>
      </c>
      <c r="D50" s="4">
        <v>0.13890651480280311</v>
      </c>
      <c r="E50" s="4">
        <v>0.50020846348778669</v>
      </c>
      <c r="F50" s="4">
        <v>6.7726565868801519E-2</v>
      </c>
      <c r="G50" s="4">
        <v>2.8821877448289082E-4</v>
      </c>
      <c r="H50" s="3">
        <v>2.0245798239662838</v>
      </c>
      <c r="I50" s="5">
        <f t="shared" si="10"/>
        <v>0.1080957567532143</v>
      </c>
      <c r="J50" s="5">
        <f t="shared" si="11"/>
        <v>0.38925756989753324</v>
      </c>
      <c r="K50" s="5">
        <f t="shared" si="12"/>
        <v>0.49735332665074755</v>
      </c>
      <c r="L50" s="5">
        <f t="shared" si="13"/>
        <v>9.9470665330149519E-2</v>
      </c>
      <c r="M50" s="8">
        <f t="shared" si="14"/>
        <v>0.68670943800411155</v>
      </c>
      <c r="N50" s="8">
        <f t="shared" si="21"/>
        <v>0.5618914115648812</v>
      </c>
      <c r="O50" s="2">
        <f t="shared" si="22"/>
        <v>-0.18450762222041972</v>
      </c>
      <c r="P50" s="2">
        <f t="shared" si="23"/>
        <v>-0.91618540675186966</v>
      </c>
      <c r="Q50" s="2">
        <f t="shared" si="15"/>
        <v>109.90886642802461</v>
      </c>
      <c r="R50" s="9">
        <f t="shared" si="16"/>
        <v>-9.1133571975382133E-2</v>
      </c>
      <c r="S50" s="9">
        <f t="shared" si="17"/>
        <v>109.81773285604923</v>
      </c>
      <c r="T50" s="9">
        <f t="shared" si="24"/>
        <v>129.87770602403151</v>
      </c>
      <c r="U50" s="9">
        <f t="shared" si="18"/>
        <v>6.496375064959263E-2</v>
      </c>
      <c r="V50" s="9">
        <f t="shared" si="19"/>
        <v>-0.1331961402603104</v>
      </c>
      <c r="W50" s="9">
        <f t="shared" si="20"/>
        <v>68.451589034713564</v>
      </c>
      <c r="X50" s="9">
        <f t="shared" si="25"/>
        <v>0.14819413172830673</v>
      </c>
      <c r="Y50" s="2">
        <f t="shared" si="26"/>
        <v>9.5083716655258339</v>
      </c>
      <c r="Z50" s="2">
        <f t="shared" si="27"/>
        <v>29.871430572017299</v>
      </c>
      <c r="AA50" s="10">
        <f t="shared" si="28"/>
        <v>0.5093036563632608</v>
      </c>
      <c r="AB50" s="2">
        <f t="shared" si="29"/>
        <v>1.9595990072284946</v>
      </c>
    </row>
    <row r="51" spans="1:28" s="2" customFormat="1" ht="14">
      <c r="A51" s="2">
        <v>110</v>
      </c>
      <c r="B51" s="2">
        <v>2700</v>
      </c>
      <c r="C51" s="2">
        <f t="shared" si="9"/>
        <v>3.1415926535897927</v>
      </c>
      <c r="D51" s="4">
        <v>0.16871771142855144</v>
      </c>
      <c r="E51" s="4">
        <v>0.4391555195769985</v>
      </c>
      <c r="F51" s="4">
        <v>0.13060715692389283</v>
      </c>
      <c r="G51" s="4">
        <v>2.3827473575914774E-4</v>
      </c>
      <c r="H51" s="3">
        <v>1.4568847634536204</v>
      </c>
      <c r="I51" s="5">
        <f t="shared" si="10"/>
        <v>0.10854315389302084</v>
      </c>
      <c r="J51" s="5">
        <f t="shared" si="11"/>
        <v>0.28252709653782748</v>
      </c>
      <c r="K51" s="5">
        <f t="shared" si="12"/>
        <v>0.39107025043084831</v>
      </c>
      <c r="L51" s="5">
        <f t="shared" si="13"/>
        <v>7.8214050086169662E-2</v>
      </c>
      <c r="M51" s="8">
        <f t="shared" si="14"/>
        <v>0.60436038677790738</v>
      </c>
      <c r="N51" s="8">
        <f t="shared" si="21"/>
        <v>0.51606101093566292</v>
      </c>
      <c r="O51" s="2">
        <f t="shared" si="22"/>
        <v>0.38207459897464691</v>
      </c>
      <c r="P51" s="2">
        <f t="shared" si="23"/>
        <v>-0.42281378282398341</v>
      </c>
      <c r="Q51" s="2">
        <f t="shared" si="15"/>
        <v>109.96693002161308</v>
      </c>
      <c r="R51" s="9">
        <f t="shared" si="16"/>
        <v>-3.30699783869179E-2</v>
      </c>
      <c r="S51" s="9">
        <f t="shared" si="17"/>
        <v>109.93386004322616</v>
      </c>
      <c r="T51" s="9">
        <f t="shared" si="24"/>
        <v>126.43224595844701</v>
      </c>
      <c r="U51" s="9">
        <f t="shared" si="18"/>
        <v>-2.0544285438595225E-2</v>
      </c>
      <c r="V51" s="9">
        <f t="shared" si="19"/>
        <v>-0.17957218792035609</v>
      </c>
      <c r="W51" s="9">
        <f t="shared" si="20"/>
        <v>116.34571307823423</v>
      </c>
      <c r="X51" s="9">
        <f t="shared" si="25"/>
        <v>0.18074357067040078</v>
      </c>
      <c r="Y51" s="2">
        <f t="shared" si="26"/>
        <v>19.629582445082566</v>
      </c>
      <c r="Z51" s="2">
        <f t="shared" si="27"/>
        <v>61.668152002506545</v>
      </c>
      <c r="AA51" s="10">
        <f t="shared" si="28"/>
        <v>0.88531819345664742</v>
      </c>
      <c r="AB51" s="2">
        <f t="shared" si="29"/>
        <v>3.583067644025888</v>
      </c>
    </row>
    <row r="52" spans="1:28" s="2" customFormat="1" ht="14">
      <c r="A52" s="2">
        <v>110</v>
      </c>
      <c r="B52" s="2">
        <v>2700</v>
      </c>
      <c r="C52" s="2">
        <f t="shared" si="9"/>
        <v>3.1415926535897927</v>
      </c>
      <c r="D52" s="4">
        <v>0.19551719104101944</v>
      </c>
      <c r="E52" s="4">
        <v>0.55064391609179375</v>
      </c>
      <c r="F52" s="4">
        <v>0.14025489540914332</v>
      </c>
      <c r="G52" s="4">
        <v>4.8700262160327975E-4</v>
      </c>
      <c r="H52" s="3">
        <v>1.5411525431615343</v>
      </c>
      <c r="I52" s="5">
        <f t="shared" si="10"/>
        <v>0.25708693843481151</v>
      </c>
      <c r="J52" s="5">
        <f t="shared" si="11"/>
        <v>0.72404558290781995</v>
      </c>
      <c r="K52" s="5">
        <f t="shared" si="12"/>
        <v>0.9811325213426314</v>
      </c>
      <c r="L52" s="5">
        <f t="shared" si="13"/>
        <v>0.19622650426852628</v>
      </c>
      <c r="M52" s="8">
        <f t="shared" si="14"/>
        <v>0.7585344238137296</v>
      </c>
      <c r="N52" s="8">
        <f t="shared" si="21"/>
        <v>0.61297612057105533</v>
      </c>
      <c r="O52" s="2">
        <f t="shared" si="22"/>
        <v>0.24045571598276927</v>
      </c>
      <c r="P52" s="2">
        <f t="shared" si="23"/>
        <v>-1.0550599111121368</v>
      </c>
      <c r="Q52" s="2">
        <f t="shared" si="15"/>
        <v>109.79296928184861</v>
      </c>
      <c r="R52" s="9">
        <f t="shared" si="16"/>
        <v>-0.20703071815139668</v>
      </c>
      <c r="S52" s="9">
        <f t="shared" si="17"/>
        <v>109.58593856369721</v>
      </c>
      <c r="T52" s="9">
        <f t="shared" si="24"/>
        <v>134.23116697991816</v>
      </c>
      <c r="U52" s="9">
        <f t="shared" si="18"/>
        <v>-1.4703974251643444E-2</v>
      </c>
      <c r="V52" s="9">
        <f t="shared" si="19"/>
        <v>-0.49587688005104508</v>
      </c>
      <c r="W52" s="9">
        <f t="shared" si="20"/>
        <v>112.03360167432368</v>
      </c>
      <c r="X52" s="9">
        <f t="shared" si="25"/>
        <v>0.49609483672776872</v>
      </c>
      <c r="Y52" s="2">
        <f t="shared" si="26"/>
        <v>21.90449510157222</v>
      </c>
      <c r="Z52" s="2">
        <f t="shared" si="27"/>
        <v>68.81500089169289</v>
      </c>
      <c r="AA52" s="10">
        <f t="shared" si="28"/>
        <v>0.79999594430999432</v>
      </c>
      <c r="AB52" s="2">
        <f t="shared" si="29"/>
        <v>3.075753885152396</v>
      </c>
    </row>
    <row r="53" spans="1:28" s="2" customFormat="1" ht="14">
      <c r="A53" s="2">
        <v>110</v>
      </c>
      <c r="B53" s="2">
        <v>2700</v>
      </c>
      <c r="C53" s="2">
        <f t="shared" si="9"/>
        <v>3.1415926535897927</v>
      </c>
      <c r="D53" s="4">
        <v>8.1096266580566456E-2</v>
      </c>
      <c r="E53" s="4">
        <v>0.2676251562051164</v>
      </c>
      <c r="F53" s="4">
        <v>6.6950181459092942E-2</v>
      </c>
      <c r="G53" s="4">
        <v>4.6068505698439931E-4</v>
      </c>
      <c r="H53" s="3">
        <v>1.3717914991090268</v>
      </c>
      <c r="I53" s="5">
        <f t="shared" si="10"/>
        <v>0.10087156311540381</v>
      </c>
      <c r="J53" s="5">
        <f t="shared" si="11"/>
        <v>0.33288545790939461</v>
      </c>
      <c r="K53" s="5">
        <f t="shared" si="12"/>
        <v>0.43375702102479841</v>
      </c>
      <c r="L53" s="5">
        <f t="shared" si="13"/>
        <v>8.6751404204959692E-2</v>
      </c>
      <c r="M53" s="8">
        <f t="shared" si="14"/>
        <v>0.32459431487611068</v>
      </c>
      <c r="N53" s="8">
        <f t="shared" si="21"/>
        <v>0.30247372300966219</v>
      </c>
      <c r="O53" s="2">
        <f t="shared" si="22"/>
        <v>0.58483061794069302</v>
      </c>
      <c r="P53" s="2">
        <f t="shared" si="23"/>
        <v>0.20047315007354283</v>
      </c>
      <c r="Q53" s="2">
        <f t="shared" si="15"/>
        <v>110.01739132727427</v>
      </c>
      <c r="R53" s="9">
        <f t="shared" si="16"/>
        <v>1.7391327274271458E-2</v>
      </c>
      <c r="S53" s="9">
        <f t="shared" si="17"/>
        <v>110.03478265454854</v>
      </c>
      <c r="T53" s="9">
        <f t="shared" si="24"/>
        <v>115.24942336657635</v>
      </c>
      <c r="U53" s="9">
        <f t="shared" si="18"/>
        <v>-1.5961092727368863E-2</v>
      </c>
      <c r="V53" s="9">
        <f t="shared" si="19"/>
        <v>-7.9142966241703763E-2</v>
      </c>
      <c r="W53" s="9">
        <f t="shared" si="20"/>
        <v>114.63305420833545</v>
      </c>
      <c r="X53" s="9">
        <f t="shared" si="25"/>
        <v>8.073639567498124E-2</v>
      </c>
      <c r="Y53" s="2">
        <f t="shared" si="26"/>
        <v>9.2963127230236964</v>
      </c>
      <c r="Z53" s="2">
        <f t="shared" si="27"/>
        <v>29.205227756124565</v>
      </c>
      <c r="AA53" s="10">
        <f t="shared" si="28"/>
        <v>0.97120143153124261</v>
      </c>
      <c r="AB53" s="2">
        <f t="shared" si="29"/>
        <v>4.2395253502089467</v>
      </c>
    </row>
    <row r="54" spans="1:28" s="2" customFormat="1" ht="14">
      <c r="A54" s="2">
        <v>110</v>
      </c>
      <c r="B54" s="2">
        <v>2700</v>
      </c>
      <c r="C54" s="2">
        <f t="shared" si="9"/>
        <v>3.1415926535897927</v>
      </c>
      <c r="D54" s="4">
        <v>9.7272995836829551E-2</v>
      </c>
      <c r="E54" s="4">
        <v>0.72080982095422452</v>
      </c>
      <c r="F54" s="4">
        <v>8.6847799764849104E-2</v>
      </c>
      <c r="G54" s="4">
        <v>3.3800939898107974E-4</v>
      </c>
      <c r="H54" s="3">
        <v>1.4202357982466478</v>
      </c>
      <c r="I54" s="5">
        <f t="shared" si="10"/>
        <v>8.8773804521718749E-2</v>
      </c>
      <c r="J54" s="5">
        <f t="shared" si="11"/>
        <v>0.65782933477307226</v>
      </c>
      <c r="K54" s="5">
        <f t="shared" si="12"/>
        <v>0.74660313929479105</v>
      </c>
      <c r="L54" s="5">
        <f t="shared" si="13"/>
        <v>0.14932062785895822</v>
      </c>
      <c r="M54" s="8">
        <f t="shared" si="14"/>
        <v>0.81207697843510185</v>
      </c>
      <c r="N54" s="8">
        <f t="shared" si="21"/>
        <v>0.67641687135605799</v>
      </c>
      <c r="O54" s="2">
        <f t="shared" si="22"/>
        <v>9.2545391679909911E-2</v>
      </c>
      <c r="P54" s="2">
        <f t="shared" si="23"/>
        <v>-0.83818194817398262</v>
      </c>
      <c r="Q54" s="2">
        <f t="shared" si="15"/>
        <v>109.87484214523862</v>
      </c>
      <c r="R54" s="9">
        <f t="shared" si="16"/>
        <v>-0.12515785476138386</v>
      </c>
      <c r="S54" s="9">
        <f t="shared" si="17"/>
        <v>109.74968429047723</v>
      </c>
      <c r="T54" s="9">
        <f t="shared" si="24"/>
        <v>140.89755820657183</v>
      </c>
      <c r="U54" s="9">
        <f t="shared" si="18"/>
        <v>-1.2783387678363591E-2</v>
      </c>
      <c r="V54" s="9">
        <f t="shared" si="19"/>
        <v>-8.4262776029206884E-2</v>
      </c>
      <c r="W54" s="9">
        <f t="shared" si="20"/>
        <v>121.86151107330105</v>
      </c>
      <c r="X54" s="9">
        <f t="shared" si="25"/>
        <v>8.5226934854443867E-2</v>
      </c>
      <c r="Y54" s="2">
        <f t="shared" si="26"/>
        <v>11.853834259302971</v>
      </c>
      <c r="Z54" s="2">
        <f t="shared" si="27"/>
        <v>37.239918625897218</v>
      </c>
      <c r="AA54" s="10">
        <f t="shared" si="28"/>
        <v>1.1035796965706668</v>
      </c>
      <c r="AB54" s="2">
        <f t="shared" si="29"/>
        <v>5.7240599977831668</v>
      </c>
    </row>
    <row r="55" spans="1:28" s="2" customFormat="1" ht="14">
      <c r="A55" s="2">
        <v>110</v>
      </c>
      <c r="B55" s="2">
        <v>2700</v>
      </c>
      <c r="C55" s="2">
        <f t="shared" si="9"/>
        <v>3.1415926535897927</v>
      </c>
      <c r="D55" s="4">
        <v>0.14425472780735857</v>
      </c>
      <c r="E55" s="4">
        <v>0.53847150061669269</v>
      </c>
      <c r="F55" s="4">
        <v>5.3172354834210789E-2</v>
      </c>
      <c r="G55" s="4">
        <v>3.9713816152175697E-4</v>
      </c>
      <c r="H55" s="3">
        <v>1.1555210141357832</v>
      </c>
      <c r="I55" s="5">
        <f t="shared" si="10"/>
        <v>0.15468045495903682</v>
      </c>
      <c r="J55" s="5">
        <f t="shared" si="11"/>
        <v>0.57738847082429234</v>
      </c>
      <c r="K55" s="5">
        <f t="shared" si="12"/>
        <v>0.73206892578332916</v>
      </c>
      <c r="L55" s="5">
        <f t="shared" si="13"/>
        <v>0.14641378515666584</v>
      </c>
      <c r="M55" s="8">
        <f t="shared" si="14"/>
        <v>0.61632890882011004</v>
      </c>
      <c r="N55" s="8">
        <f t="shared" si="21"/>
        <v>0.49320141811204454</v>
      </c>
      <c r="O55" s="2">
        <f t="shared" si="22"/>
        <v>0.28283098259887379</v>
      </c>
      <c r="P55" s="2">
        <f t="shared" si="23"/>
        <v>-1.0478849743173939</v>
      </c>
      <c r="Q55" s="2">
        <f t="shared" si="15"/>
        <v>109.8465751945014</v>
      </c>
      <c r="R55" s="9">
        <f t="shared" si="16"/>
        <v>-0.15342480549860521</v>
      </c>
      <c r="S55" s="9">
        <f t="shared" si="17"/>
        <v>109.6931503890028</v>
      </c>
      <c r="T55" s="9">
        <f t="shared" si="24"/>
        <v>124.70921074161107</v>
      </c>
      <c r="U55" s="9">
        <f t="shared" si="18"/>
        <v>-8.8847701549298733E-2</v>
      </c>
      <c r="V55" s="9">
        <f t="shared" si="19"/>
        <v>-0.20150639950537363</v>
      </c>
      <c r="W55" s="9">
        <f t="shared" si="20"/>
        <v>124.33075534950673</v>
      </c>
      <c r="X55" s="9">
        <f t="shared" si="25"/>
        <v>0.22022430182024078</v>
      </c>
      <c r="Y55" s="2">
        <f t="shared" si="26"/>
        <v>17.935299271026384</v>
      </c>
      <c r="Z55" s="2">
        <f t="shared" si="27"/>
        <v>56.345404429790854</v>
      </c>
      <c r="AA55" s="10">
        <f t="shared" si="28"/>
        <v>0.37750299037534102</v>
      </c>
      <c r="AB55" s="2">
        <f t="shared" si="29"/>
        <v>1.6327077824938312</v>
      </c>
    </row>
    <row r="56" spans="1:28" s="2" customFormat="1" ht="14">
      <c r="A56" s="2">
        <v>110</v>
      </c>
      <c r="B56" s="2">
        <v>2700</v>
      </c>
      <c r="C56" s="2">
        <f t="shared" si="9"/>
        <v>3.1415926535897927</v>
      </c>
      <c r="D56" s="4">
        <v>0.16462907731829157</v>
      </c>
      <c r="E56" s="4">
        <v>0.29240250017099167</v>
      </c>
      <c r="F56" s="4">
        <v>5.6562360874395617E-2</v>
      </c>
      <c r="G56" s="4">
        <v>1.2621697724287322E-4</v>
      </c>
      <c r="H56" s="3">
        <v>1.8211681944531508</v>
      </c>
      <c r="I56" s="5">
        <f t="shared" si="10"/>
        <v>5.6103258164574669E-2</v>
      </c>
      <c r="J56" s="5">
        <f t="shared" si="11"/>
        <v>9.9646631216571482E-2</v>
      </c>
      <c r="K56" s="5">
        <f t="shared" si="12"/>
        <v>0.15574988938114614</v>
      </c>
      <c r="L56" s="5">
        <f t="shared" si="13"/>
        <v>3.114997787622923E-2</v>
      </c>
      <c r="M56" s="8">
        <f t="shared" si="14"/>
        <v>0.51934002611875285</v>
      </c>
      <c r="N56" s="8">
        <f t="shared" si="21"/>
        <v>0.39456932173497938</v>
      </c>
      <c r="O56" s="2">
        <f t="shared" si="22"/>
        <v>-7.0548083169655829E-2</v>
      </c>
      <c r="P56" s="2">
        <f t="shared" si="23"/>
        <v>-0.64209843509170783</v>
      </c>
      <c r="Q56" s="2">
        <f t="shared" si="15"/>
        <v>109.97999864795253</v>
      </c>
      <c r="R56" s="9">
        <f t="shared" si="16"/>
        <v>-2.0001352047468109E-2</v>
      </c>
      <c r="S56" s="9">
        <f t="shared" si="17"/>
        <v>109.95999729590505</v>
      </c>
      <c r="T56" s="9">
        <f t="shared" si="24"/>
        <v>119.13399160036714</v>
      </c>
      <c r="U56" s="9">
        <f t="shared" si="18"/>
        <v>2.2585671842833058E-2</v>
      </c>
      <c r="V56" s="9">
        <f t="shared" si="19"/>
        <v>-8.8315641302770032E-2</v>
      </c>
      <c r="W56" s="9">
        <f t="shared" si="20"/>
        <v>95.204156960271021</v>
      </c>
      <c r="X56" s="9">
        <f t="shared" si="25"/>
        <v>9.1157912828847082E-2</v>
      </c>
      <c r="Y56" s="2">
        <f t="shared" si="26"/>
        <v>15.673372517235224</v>
      </c>
      <c r="Z56" s="2">
        <f t="shared" si="27"/>
        <v>49.239351957122338</v>
      </c>
      <c r="AA56" s="10">
        <f t="shared" si="28"/>
        <v>0.35072051262049952</v>
      </c>
      <c r="AB56" s="2">
        <f t="shared" si="29"/>
        <v>1.5749159331673592</v>
      </c>
    </row>
    <row r="57" spans="1:28" s="2" customFormat="1" ht="14">
      <c r="A57" s="2">
        <v>110</v>
      </c>
      <c r="B57" s="2">
        <v>2700</v>
      </c>
      <c r="C57" s="2">
        <f t="shared" si="9"/>
        <v>3.1415926535897927</v>
      </c>
      <c r="D57" s="4">
        <v>0.177996472972546</v>
      </c>
      <c r="E57" s="4">
        <v>0.56857972544704027</v>
      </c>
      <c r="F57" s="4">
        <v>5.0216884550949838E-2</v>
      </c>
      <c r="G57" s="4">
        <v>1.7080734839448327E-4</v>
      </c>
      <c r="H57" s="3">
        <v>0.82315821109448917</v>
      </c>
      <c r="I57" s="5">
        <f t="shared" si="10"/>
        <v>8.2088385044429404E-2</v>
      </c>
      <c r="J57" s="5">
        <f t="shared" si="11"/>
        <v>0.26221750718707509</v>
      </c>
      <c r="K57" s="5">
        <f t="shared" si="12"/>
        <v>0.34430589223150448</v>
      </c>
      <c r="L57" s="5">
        <f t="shared" si="13"/>
        <v>6.8861178446300894E-2</v>
      </c>
      <c r="M57" s="8">
        <f t="shared" si="14"/>
        <v>0.58305411751658809</v>
      </c>
      <c r="N57" s="8">
        <f t="shared" si="21"/>
        <v>0.46584260331711608</v>
      </c>
      <c r="O57" s="2">
        <f t="shared" si="22"/>
        <v>0.54095773422810745</v>
      </c>
      <c r="P57" s="2">
        <f t="shared" si="23"/>
        <v>-1.2582891200970248</v>
      </c>
      <c r="Q57" s="2">
        <f t="shared" si="15"/>
        <v>109.91335272836396</v>
      </c>
      <c r="R57" s="9">
        <f t="shared" si="16"/>
        <v>-8.6647271636040163E-2</v>
      </c>
      <c r="S57" s="9">
        <f t="shared" si="17"/>
        <v>109.82670545672792</v>
      </c>
      <c r="T57" s="9">
        <f t="shared" si="24"/>
        <v>123.02217690920475</v>
      </c>
      <c r="U57" s="9">
        <f t="shared" si="18"/>
        <v>-9.8049063436168066E-2</v>
      </c>
      <c r="V57" s="9">
        <f t="shared" si="19"/>
        <v>-0.10574811408427992</v>
      </c>
      <c r="W57" s="9">
        <f t="shared" si="20"/>
        <v>118.16989800083137</v>
      </c>
      <c r="X57" s="9">
        <f t="shared" si="25"/>
        <v>0.14420916223697991</v>
      </c>
      <c r="Y57" s="2">
        <f t="shared" si="26"/>
        <v>21.0338250556735</v>
      </c>
      <c r="Z57" s="2">
        <f t="shared" si="27"/>
        <v>66.079710271796785</v>
      </c>
      <c r="AA57" s="10">
        <f t="shared" si="28"/>
        <v>0.28600619872434285</v>
      </c>
      <c r="AB57" s="2">
        <f t="shared" si="29"/>
        <v>1.4452185496690504</v>
      </c>
    </row>
    <row r="58" spans="1:28" s="2" customFormat="1" ht="14">
      <c r="A58" s="2">
        <v>110</v>
      </c>
      <c r="B58" s="2">
        <v>2700</v>
      </c>
      <c r="C58" s="2">
        <f t="shared" si="9"/>
        <v>3.1415926535897927</v>
      </c>
      <c r="D58" s="4">
        <v>0.15024253830708145</v>
      </c>
      <c r="E58" s="4">
        <v>0.73737088138252571</v>
      </c>
      <c r="F58" s="4">
        <v>0.14209764389489732</v>
      </c>
      <c r="G58" s="4">
        <v>1.5626733920908351E-4</v>
      </c>
      <c r="H58" s="3">
        <v>1.8047375045466949</v>
      </c>
      <c r="I58" s="5">
        <f t="shared" si="10"/>
        <v>6.3390604582619331E-2</v>
      </c>
      <c r="J58" s="5">
        <f t="shared" si="11"/>
        <v>0.31111286123854087</v>
      </c>
      <c r="K58" s="5">
        <f t="shared" si="12"/>
        <v>0.37450346582116023</v>
      </c>
      <c r="L58" s="5">
        <f t="shared" si="13"/>
        <v>7.4900693164232049E-2</v>
      </c>
      <c r="M58" s="8">
        <f t="shared" si="14"/>
        <v>0.9199301516404812</v>
      </c>
      <c r="N58" s="8">
        <f t="shared" si="21"/>
        <v>0.74151843973283738</v>
      </c>
      <c r="O58" s="2">
        <f t="shared" si="22"/>
        <v>-3.0905497299415066E-2</v>
      </c>
      <c r="P58" s="2">
        <f t="shared" si="23"/>
        <v>-1.0948808606232381</v>
      </c>
      <c r="Q58" s="2">
        <f t="shared" si="15"/>
        <v>109.91799266460706</v>
      </c>
      <c r="R58" s="9">
        <f t="shared" si="16"/>
        <v>-8.2007335392931466E-2</v>
      </c>
      <c r="S58" s="9">
        <f t="shared" si="17"/>
        <v>109.83598532921413</v>
      </c>
      <c r="T58" s="9">
        <f t="shared" si="24"/>
        <v>149.05269576998444</v>
      </c>
      <c r="U58" s="9">
        <f t="shared" si="18"/>
        <v>2.1789917829259632E-2</v>
      </c>
      <c r="V58" s="9">
        <f t="shared" si="19"/>
        <v>-9.1437302482369254E-2</v>
      </c>
      <c r="W58" s="9">
        <f t="shared" si="20"/>
        <v>83.58689876916344</v>
      </c>
      <c r="X58" s="9">
        <f t="shared" si="25"/>
        <v>9.3997770208969197E-2</v>
      </c>
      <c r="Y58" s="2">
        <f t="shared" si="26"/>
        <v>12.558307840296179</v>
      </c>
      <c r="Z58" s="2">
        <f t="shared" si="27"/>
        <v>39.453087652593567</v>
      </c>
      <c r="AA58" s="10">
        <f t="shared" si="28"/>
        <v>1.2400134254939097</v>
      </c>
      <c r="AB58" s="2">
        <f t="shared" si="29"/>
        <v>8.4974457302168318</v>
      </c>
    </row>
    <row r="59" spans="1:28" s="2" customFormat="1" ht="14">
      <c r="A59" s="2">
        <v>110</v>
      </c>
      <c r="B59" s="2">
        <v>2700</v>
      </c>
      <c r="C59" s="2">
        <f t="shared" si="9"/>
        <v>3.1415926535897927</v>
      </c>
      <c r="D59" s="4">
        <v>0.13448378933193089</v>
      </c>
      <c r="E59" s="4">
        <v>0.52296051800811083</v>
      </c>
      <c r="F59" s="4">
        <v>5.4642873429508465E-2</v>
      </c>
      <c r="G59" s="4">
        <v>2.4344736741885396E-4</v>
      </c>
      <c r="H59" s="3">
        <v>1.8448457334238735</v>
      </c>
      <c r="I59" s="5">
        <f t="shared" si="10"/>
        <v>8.8397256078099895E-2</v>
      </c>
      <c r="J59" s="5">
        <f t="shared" si="11"/>
        <v>0.34374607570730181</v>
      </c>
      <c r="K59" s="5">
        <f t="shared" si="12"/>
        <v>0.43214333178540171</v>
      </c>
      <c r="L59" s="5">
        <f t="shared" si="13"/>
        <v>8.6428666357080353E-2</v>
      </c>
      <c r="M59" s="8">
        <f t="shared" si="14"/>
        <v>0.68881232328799924</v>
      </c>
      <c r="N59" s="8">
        <f t="shared" si="21"/>
        <v>0.55064277381139093</v>
      </c>
      <c r="O59" s="2">
        <f t="shared" si="22"/>
        <v>-9.8105902949555832E-2</v>
      </c>
      <c r="P59" s="2">
        <f t="shared" si="23"/>
        <v>-0.94735772974932286</v>
      </c>
      <c r="Q59" s="2">
        <f t="shared" si="15"/>
        <v>109.91812113485469</v>
      </c>
      <c r="R59" s="9">
        <f t="shared" si="16"/>
        <v>-8.1878865145305318E-2</v>
      </c>
      <c r="S59" s="9">
        <f t="shared" si="17"/>
        <v>109.83624226970939</v>
      </c>
      <c r="T59" s="9">
        <f t="shared" si="24"/>
        <v>128.98336118035456</v>
      </c>
      <c r="U59" s="9">
        <f t="shared" si="18"/>
        <v>3.1753201342633167E-2</v>
      </c>
      <c r="V59" s="9">
        <f t="shared" si="19"/>
        <v>-0.11295142699757947</v>
      </c>
      <c r="W59" s="9">
        <f t="shared" si="20"/>
        <v>87.551718223921171</v>
      </c>
      <c r="X59" s="9">
        <f t="shared" si="25"/>
        <v>0.11732983702492442</v>
      </c>
      <c r="Y59" s="2">
        <f t="shared" si="26"/>
        <v>11.77428682927439</v>
      </c>
      <c r="Z59" s="2">
        <f t="shared" si="27"/>
        <v>36.990013004107475</v>
      </c>
      <c r="AA59" s="10">
        <f t="shared" si="28"/>
        <v>0.41841827536662574</v>
      </c>
      <c r="AB59" s="2">
        <f t="shared" si="29"/>
        <v>1.726182305968138</v>
      </c>
    </row>
    <row r="60" spans="1:28" s="2" customFormat="1" ht="14">
      <c r="A60" s="2">
        <v>110</v>
      </c>
      <c r="B60" s="2">
        <v>2700</v>
      </c>
      <c r="C60" s="2">
        <f t="shared" si="9"/>
        <v>3.1415926535897927</v>
      </c>
      <c r="D60" s="4">
        <v>9.1814192862604255E-2</v>
      </c>
      <c r="E60" s="4">
        <v>0.59293700927289683</v>
      </c>
      <c r="F60" s="4">
        <v>7.1426459701527126E-2</v>
      </c>
      <c r="G60" s="4">
        <v>4.2620969536826572E-4</v>
      </c>
      <c r="H60" s="3">
        <v>2.0912825732499929</v>
      </c>
      <c r="I60" s="5">
        <f t="shared" si="10"/>
        <v>0.10565666776022514</v>
      </c>
      <c r="J60" s="5">
        <f t="shared" si="11"/>
        <v>0.68233185565588406</v>
      </c>
      <c r="K60" s="5">
        <f t="shared" si="12"/>
        <v>0.78798852341610925</v>
      </c>
      <c r="L60" s="5">
        <f t="shared" si="13"/>
        <v>0.15759770468322187</v>
      </c>
      <c r="M60" s="8">
        <f t="shared" si="14"/>
        <v>0.71395508393280049</v>
      </c>
      <c r="N60" s="8">
        <f t="shared" si="21"/>
        <v>0.61455833384450942</v>
      </c>
      <c r="O60" s="2">
        <f t="shared" si="22"/>
        <v>-0.13073470468295637</v>
      </c>
      <c r="P60" s="2">
        <f t="shared" si="23"/>
        <v>-0.66037422276627844</v>
      </c>
      <c r="Q60" s="2">
        <f t="shared" si="15"/>
        <v>109.89592653826007</v>
      </c>
      <c r="R60" s="9">
        <f t="shared" si="16"/>
        <v>-0.10407346173993212</v>
      </c>
      <c r="S60" s="9">
        <f t="shared" si="17"/>
        <v>109.79185307652014</v>
      </c>
      <c r="T60" s="9">
        <f t="shared" si="24"/>
        <v>134.50689688003806</v>
      </c>
      <c r="U60" s="9">
        <f t="shared" si="18"/>
        <v>4.7613129536104234E-2</v>
      </c>
      <c r="V60" s="9">
        <f t="shared" si="19"/>
        <v>-8.306436349433996E-2</v>
      </c>
      <c r="W60" s="9">
        <f t="shared" si="20"/>
        <v>56.77428762027067</v>
      </c>
      <c r="X60" s="9">
        <f t="shared" si="25"/>
        <v>9.5742877473688232E-2</v>
      </c>
      <c r="Y60" s="2">
        <f t="shared" si="26"/>
        <v>5.2126853932044961</v>
      </c>
      <c r="Z60" s="2">
        <f t="shared" si="27"/>
        <v>16.376134136766066</v>
      </c>
      <c r="AA60" s="10">
        <f t="shared" si="28"/>
        <v>0.89138976954965787</v>
      </c>
      <c r="AB60" s="2">
        <f t="shared" si="29"/>
        <v>3.6240246286816502</v>
      </c>
    </row>
    <row r="61" spans="1:28" s="2" customFormat="1" ht="14">
      <c r="A61" s="2">
        <v>110</v>
      </c>
      <c r="B61" s="2">
        <v>2700</v>
      </c>
      <c r="C61" s="2">
        <f t="shared" si="9"/>
        <v>3.1415926535897927</v>
      </c>
      <c r="D61" s="4">
        <v>0.18178090751818321</v>
      </c>
      <c r="E61" s="4">
        <v>0.44483349256681293</v>
      </c>
      <c r="F61" s="4">
        <v>0.10447908766948036</v>
      </c>
      <c r="G61" s="4">
        <v>2.8509483118400791E-4</v>
      </c>
      <c r="H61" s="3">
        <v>1.5648411120749091</v>
      </c>
      <c r="I61" s="5">
        <f t="shared" si="10"/>
        <v>0.13992695228170493</v>
      </c>
      <c r="J61" s="5">
        <f t="shared" si="11"/>
        <v>0.34241326956448603</v>
      </c>
      <c r="K61" s="5">
        <f t="shared" si="12"/>
        <v>0.48234022184619096</v>
      </c>
      <c r="L61" s="5">
        <f t="shared" si="13"/>
        <v>9.6468044369238198E-2</v>
      </c>
      <c r="M61" s="8">
        <f t="shared" si="14"/>
        <v>0.63753000495463708</v>
      </c>
      <c r="N61" s="8">
        <f t="shared" si="21"/>
        <v>0.51066446812523347</v>
      </c>
      <c r="O61" s="2">
        <f t="shared" si="22"/>
        <v>0.20066283053685219</v>
      </c>
      <c r="P61" s="2">
        <f t="shared" si="23"/>
        <v>-0.76293313148059538</v>
      </c>
      <c r="Q61" s="2">
        <f t="shared" si="15"/>
        <v>109.92640133282157</v>
      </c>
      <c r="R61" s="9">
        <f t="shared" si="16"/>
        <v>-7.3598667178431915E-2</v>
      </c>
      <c r="S61" s="9">
        <f t="shared" si="17"/>
        <v>109.85280266564314</v>
      </c>
      <c r="T61" s="9">
        <f t="shared" si="24"/>
        <v>126.00170708857469</v>
      </c>
      <c r="U61" s="9">
        <f t="shared" si="18"/>
        <v>-1.4950105090970208E-3</v>
      </c>
      <c r="V61" s="9">
        <f t="shared" si="19"/>
        <v>-0.25103928339137721</v>
      </c>
      <c r="W61" s="9">
        <f t="shared" si="20"/>
        <v>110.29119719310965</v>
      </c>
      <c r="X61" s="9">
        <f t="shared" si="25"/>
        <v>0.25104373495882848</v>
      </c>
      <c r="Y61" s="2">
        <f t="shared" si="26"/>
        <v>20.048833917030372</v>
      </c>
      <c r="Z61" s="2">
        <f t="shared" si="27"/>
        <v>62.985269346784484</v>
      </c>
      <c r="AA61" s="10">
        <f t="shared" si="28"/>
        <v>0.61230205032106133</v>
      </c>
      <c r="AB61" s="2">
        <f t="shared" si="29"/>
        <v>2.2776331906198415</v>
      </c>
    </row>
    <row r="62" spans="1:28" s="2" customFormat="1" ht="14">
      <c r="A62" s="2">
        <v>110</v>
      </c>
      <c r="B62" s="2">
        <v>2700</v>
      </c>
      <c r="C62" s="2">
        <f t="shared" si="9"/>
        <v>3.1415926535897927</v>
      </c>
      <c r="D62" s="4">
        <v>0.17032754311827142</v>
      </c>
      <c r="E62" s="4">
        <v>0.4781611490658163</v>
      </c>
      <c r="F62" s="4">
        <v>0.13062026912853048</v>
      </c>
      <c r="G62" s="4">
        <v>1.6095199662143208E-4</v>
      </c>
      <c r="H62" s="3">
        <v>1.9706034004591702</v>
      </c>
      <c r="I62" s="5">
        <f t="shared" si="10"/>
        <v>7.4019306990173894E-2</v>
      </c>
      <c r="J62" s="5">
        <f t="shared" si="11"/>
        <v>0.20779467745214161</v>
      </c>
      <c r="K62" s="5">
        <f t="shared" si="12"/>
        <v>0.28181398444231553</v>
      </c>
      <c r="L62" s="5">
        <f t="shared" si="13"/>
        <v>5.6362796888463108E-2</v>
      </c>
      <c r="M62" s="8">
        <f t="shared" si="14"/>
        <v>0.7154627872589473</v>
      </c>
      <c r="N62" s="8">
        <f t="shared" si="21"/>
        <v>0.60343281126038328</v>
      </c>
      <c r="O62" s="2">
        <f t="shared" si="22"/>
        <v>-9.0301273012528521E-2</v>
      </c>
      <c r="P62" s="2">
        <f t="shared" si="23"/>
        <v>-0.90249141646236886</v>
      </c>
      <c r="Q62" s="2">
        <f t="shared" si="15"/>
        <v>109.94913305960034</v>
      </c>
      <c r="R62" s="9">
        <f t="shared" si="16"/>
        <v>-5.0866940399649868E-2</v>
      </c>
      <c r="S62" s="9">
        <f t="shared" si="17"/>
        <v>109.8982661192007</v>
      </c>
      <c r="T62" s="9">
        <f t="shared" si="24"/>
        <v>133.53187020865744</v>
      </c>
      <c r="U62" s="9">
        <f t="shared" si="18"/>
        <v>4.8433719019190961E-2</v>
      </c>
      <c r="V62" s="9">
        <f t="shared" si="19"/>
        <v>-0.11461816408869828</v>
      </c>
      <c r="W62" s="9">
        <f t="shared" si="20"/>
        <v>71.783155537145987</v>
      </c>
      <c r="X62" s="9">
        <f t="shared" si="25"/>
        <v>0.12443130103432055</v>
      </c>
      <c r="Y62" s="2">
        <f t="shared" si="26"/>
        <v>12.226648519918816</v>
      </c>
      <c r="Z62" s="2">
        <f t="shared" si="27"/>
        <v>38.411149168201469</v>
      </c>
      <c r="AA62" s="10">
        <f t="shared" si="28"/>
        <v>0.87396079982818409</v>
      </c>
      <c r="AB62" s="2">
        <f t="shared" si="29"/>
        <v>3.5083703858570137</v>
      </c>
    </row>
    <row r="63" spans="1:28" s="2" customFormat="1" ht="14">
      <c r="A63" s="2">
        <v>110</v>
      </c>
      <c r="B63" s="2">
        <v>2700</v>
      </c>
      <c r="C63" s="2">
        <f t="shared" si="9"/>
        <v>3.1415926535897927</v>
      </c>
      <c r="D63" s="4">
        <v>0.15062534790195242</v>
      </c>
      <c r="E63" s="4">
        <v>0.51094561463066335</v>
      </c>
      <c r="F63" s="4">
        <v>7.7701524802847977E-2</v>
      </c>
      <c r="G63" s="4">
        <v>1.0811732157190158E-4</v>
      </c>
      <c r="H63" s="3">
        <v>0.3325881709928265</v>
      </c>
      <c r="I63" s="5">
        <f t="shared" si="10"/>
        <v>4.3970064775186335E-2</v>
      </c>
      <c r="J63" s="5">
        <f t="shared" si="11"/>
        <v>0.1491535925714961</v>
      </c>
      <c r="K63" s="5">
        <f t="shared" si="12"/>
        <v>0.19312365734668244</v>
      </c>
      <c r="L63" s="5">
        <f t="shared" si="13"/>
        <v>3.8624731469336489E-2</v>
      </c>
      <c r="M63" s="8">
        <f t="shared" si="14"/>
        <v>0.4023516259283535</v>
      </c>
      <c r="N63" s="8">
        <f t="shared" si="21"/>
        <v>0.40683662990682562</v>
      </c>
      <c r="O63" s="2">
        <f t="shared" si="22"/>
        <v>0.60119343778898771</v>
      </c>
      <c r="P63" s="2">
        <f t="shared" si="23"/>
        <v>-1.0440913100999387</v>
      </c>
      <c r="Q63" s="2">
        <f t="shared" si="15"/>
        <v>109.95967225351792</v>
      </c>
      <c r="R63" s="9">
        <f t="shared" si="16"/>
        <v>-4.0327746482077868E-2</v>
      </c>
      <c r="S63" s="9">
        <f t="shared" si="17"/>
        <v>109.91934450703585</v>
      </c>
      <c r="T63" s="9">
        <f t="shared" si="24"/>
        <v>119.73258325206494</v>
      </c>
      <c r="U63" s="9">
        <f t="shared" si="18"/>
        <v>-6.1784403082091773E-2</v>
      </c>
      <c r="V63" s="9">
        <f t="shared" si="19"/>
        <v>-2.1341523016308737E-2</v>
      </c>
      <c r="W63" s="9">
        <f t="shared" si="20"/>
        <v>80.683361777649338</v>
      </c>
      <c r="X63" s="9">
        <f t="shared" si="25"/>
        <v>6.5366452166734784E-2</v>
      </c>
      <c r="Y63" s="2">
        <f t="shared" si="26"/>
        <v>12.152959437657522</v>
      </c>
      <c r="Z63" s="2">
        <f t="shared" si="27"/>
        <v>38.17964808871961</v>
      </c>
      <c r="AA63" s="10">
        <f t="shared" si="28"/>
        <v>0.54201070940097174</v>
      </c>
      <c r="AB63" s="2">
        <f t="shared" si="29"/>
        <v>2.0536902931710292</v>
      </c>
    </row>
    <row r="64" spans="1:28" s="2" customFormat="1" ht="14">
      <c r="A64" s="2">
        <v>110</v>
      </c>
      <c r="B64" s="2">
        <v>2700</v>
      </c>
      <c r="C64" s="2">
        <f t="shared" si="9"/>
        <v>3.1415926535897927</v>
      </c>
      <c r="D64" s="4">
        <v>9.6378431251428948E-2</v>
      </c>
      <c r="E64" s="4">
        <v>0.72838350369193039</v>
      </c>
      <c r="F64" s="4">
        <v>8.1093852872363509E-2</v>
      </c>
      <c r="G64" s="4">
        <v>2.0644560161167869E-4</v>
      </c>
      <c r="H64" s="3">
        <v>1.9530165410854059</v>
      </c>
      <c r="I64" s="5">
        <f t="shared" si="10"/>
        <v>5.3721638699645871E-2</v>
      </c>
      <c r="J64" s="5">
        <f t="shared" si="11"/>
        <v>0.40600324068399801</v>
      </c>
      <c r="K64" s="5">
        <f t="shared" si="12"/>
        <v>0.45972487938364387</v>
      </c>
      <c r="L64" s="5">
        <f t="shared" si="13"/>
        <v>9.1944975876728785E-2</v>
      </c>
      <c r="M64" s="8">
        <f t="shared" si="14"/>
        <v>0.84643494649896012</v>
      </c>
      <c r="N64" s="8">
        <f t="shared" si="21"/>
        <v>0.69754782886072975</v>
      </c>
      <c r="O64" s="2">
        <f t="shared" si="22"/>
        <v>-9.3724828957707673E-2</v>
      </c>
      <c r="P64" s="2">
        <f t="shared" si="23"/>
        <v>-0.75143595882190783</v>
      </c>
      <c r="Q64" s="2">
        <f t="shared" si="15"/>
        <v>109.93090923889322</v>
      </c>
      <c r="R64" s="9">
        <f t="shared" si="16"/>
        <v>-6.9090761106786885E-2</v>
      </c>
      <c r="S64" s="9">
        <f t="shared" si="17"/>
        <v>109.86181847778643</v>
      </c>
      <c r="T64" s="9">
        <f t="shared" si="24"/>
        <v>143.43436236852364</v>
      </c>
      <c r="U64" s="9">
        <f t="shared" si="18"/>
        <v>1.9059697822380844E-2</v>
      </c>
      <c r="V64" s="9">
        <f t="shared" si="19"/>
        <v>-4.7413431850717599E-2</v>
      </c>
      <c r="W64" s="9">
        <f t="shared" si="20"/>
        <v>67.634024812647112</v>
      </c>
      <c r="X64" s="9">
        <f t="shared" si="25"/>
        <v>5.1100935421409963E-2</v>
      </c>
      <c r="Y64" s="2">
        <f t="shared" si="26"/>
        <v>6.5184612106631494</v>
      </c>
      <c r="Z64" s="2">
        <f t="shared" si="27"/>
        <v>20.478349852129377</v>
      </c>
      <c r="AA64" s="10">
        <f t="shared" si="28"/>
        <v>0.99988861733456358</v>
      </c>
      <c r="AB64" s="2">
        <f t="shared" si="29"/>
        <v>4.5028029951802093</v>
      </c>
    </row>
    <row r="65" spans="1:28" s="2" customFormat="1" ht="14">
      <c r="A65" s="2">
        <v>110</v>
      </c>
      <c r="B65" s="2">
        <v>2700</v>
      </c>
      <c r="C65" s="2">
        <f t="shared" si="9"/>
        <v>3.1415926535897927</v>
      </c>
      <c r="D65" s="4">
        <v>7.6466491636312459E-2</v>
      </c>
      <c r="E65" s="4">
        <v>0.39015401812767747</v>
      </c>
      <c r="F65" s="4">
        <v>5.5953835727818917E-2</v>
      </c>
      <c r="G65" s="4">
        <v>2.9691087639994855E-4</v>
      </c>
      <c r="H65" s="3">
        <v>1.1701672692157228</v>
      </c>
      <c r="I65" s="5">
        <f t="shared" si="10"/>
        <v>6.1300079226810543E-2</v>
      </c>
      <c r="J65" s="5">
        <f t="shared" si="11"/>
        <v>0.31277062292377539</v>
      </c>
      <c r="K65" s="5">
        <f t="shared" si="12"/>
        <v>0.37407070215058591</v>
      </c>
      <c r="L65" s="5">
        <f t="shared" si="13"/>
        <v>7.4814140430117179E-2</v>
      </c>
      <c r="M65" s="8">
        <f t="shared" si="14"/>
        <v>0.42471261041023417</v>
      </c>
      <c r="N65" s="8">
        <f t="shared" si="21"/>
        <v>0.38931541974213385</v>
      </c>
      <c r="O65" s="2">
        <f t="shared" si="22"/>
        <v>0.15890771180118518</v>
      </c>
      <c r="P65" s="2">
        <f t="shared" si="23"/>
        <v>-0.57349169897027685</v>
      </c>
      <c r="Q65" s="2">
        <f t="shared" si="15"/>
        <v>109.95709471149773</v>
      </c>
      <c r="R65" s="9">
        <f t="shared" si="16"/>
        <v>-4.2905288502268782E-2</v>
      </c>
      <c r="S65" s="9">
        <f t="shared" si="17"/>
        <v>109.91418942299546</v>
      </c>
      <c r="T65" s="9">
        <f t="shared" si="24"/>
        <v>118.85080599326277</v>
      </c>
      <c r="U65" s="9">
        <f t="shared" si="18"/>
        <v>-1.8042385317211734E-2</v>
      </c>
      <c r="V65" s="9">
        <f t="shared" si="19"/>
        <v>-4.2599522382371031E-2</v>
      </c>
      <c r="W65" s="9">
        <f t="shared" si="20"/>
        <v>118.84319971782712</v>
      </c>
      <c r="X65" s="9">
        <f t="shared" si="25"/>
        <v>4.6262803364483525E-2</v>
      </c>
      <c r="Y65" s="2">
        <f t="shared" si="26"/>
        <v>9.0875225372558379</v>
      </c>
      <c r="Z65" s="2">
        <f t="shared" si="27"/>
        <v>28.549294042374612</v>
      </c>
      <c r="AA65" s="10">
        <f t="shared" si="28"/>
        <v>0.82087604537181524</v>
      </c>
      <c r="AB65" s="2">
        <f t="shared" si="29"/>
        <v>3.1892354846413413</v>
      </c>
    </row>
    <row r="66" spans="1:28" s="2" customFormat="1" ht="14">
      <c r="A66" s="2">
        <v>110</v>
      </c>
      <c r="B66" s="2">
        <v>2700</v>
      </c>
      <c r="C66" s="2">
        <f t="shared" si="9"/>
        <v>3.1415926535897927</v>
      </c>
      <c r="D66" s="4">
        <v>0.11573027607607564</v>
      </c>
      <c r="E66" s="4">
        <v>0.52606237224191266</v>
      </c>
      <c r="F66" s="4">
        <v>7.8566602549843212E-2</v>
      </c>
      <c r="G66" s="4">
        <v>1.1772756179502185E-4</v>
      </c>
      <c r="H66" s="3">
        <v>0.73248215361822522</v>
      </c>
      <c r="I66" s="5">
        <f t="shared" si="10"/>
        <v>3.6786536716413062E-2</v>
      </c>
      <c r="J66" s="5">
        <f t="shared" si="11"/>
        <v>0.16721650917759298</v>
      </c>
      <c r="K66" s="5">
        <f t="shared" si="12"/>
        <v>0.20400304589400603</v>
      </c>
      <c r="L66" s="5">
        <f t="shared" si="13"/>
        <v>4.0800609178801212E-2</v>
      </c>
      <c r="M66" s="8">
        <f t="shared" si="14"/>
        <v>0.52108770865751841</v>
      </c>
      <c r="N66" s="8">
        <f t="shared" ref="N66:N101" si="30">ATAN($M66+$F66-$D66*SIN($H66))</f>
        <v>0.48129934995041335</v>
      </c>
      <c r="O66" s="2">
        <f t="shared" ref="O66:O101" si="31">($D66*$C66*COS($H66))+($D66*C66*($F66+$D66*COS($H66))*SIN($H66))/(SQRT($E66^2-($F66+$D66*COS($H66)^2)))</f>
        <v>0.37957912606103594</v>
      </c>
      <c r="P66" s="2">
        <f t="shared" ref="P66:P101" si="32">(-$D66*$C66^2*SIN($H66))+(-$D66*$C66^2*($F66+$D66*COS($H66))*COS($H66)+$D66^2*C66^2*(SIN($H66))^2)/SQRT($E66^2-($F66+$D66*COS($H66))^2)+($D66^2*C66^2*($F66+$D66*COS($H66))^2*(SIN($H66))^2)/($E66^2-($F66+$D66*COS($H66))^2)^3/2</f>
        <v>-0.8738274946460034</v>
      </c>
      <c r="Q66" s="2">
        <f t="shared" si="15"/>
        <v>109.96434730590126</v>
      </c>
      <c r="R66" s="9">
        <f t="shared" si="16"/>
        <v>-3.5652694098742596E-2</v>
      </c>
      <c r="S66" s="9">
        <f t="shared" si="17"/>
        <v>109.92869461180251</v>
      </c>
      <c r="T66" s="9">
        <f t="shared" ref="T66:T101" si="33">($R66+$A66)/COS($N66)</f>
        <v>124.05806817082274</v>
      </c>
      <c r="U66" s="9">
        <f t="shared" si="18"/>
        <v>-3.1241109154285313E-2</v>
      </c>
      <c r="V66" s="9">
        <f t="shared" si="19"/>
        <v>-2.8098176855228908E-2</v>
      </c>
      <c r="W66" s="9">
        <f t="shared" si="20"/>
        <v>116.23549400582888</v>
      </c>
      <c r="X66" s="9">
        <f t="shared" ref="X66:X101" si="34">$I66*(C66^2)*$D66</f>
        <v>4.2018025224630572E-2</v>
      </c>
      <c r="Y66" s="2">
        <f t="shared" ref="Y66:Y101" si="35">$W66*$D66</f>
        <v>13.451965811133611</v>
      </c>
      <c r="Z66" s="2">
        <f t="shared" ref="Z66:Z101" si="36">$Y66*C66</f>
        <v>42.260596968598406</v>
      </c>
      <c r="AA66" s="10">
        <f t="shared" si="28"/>
        <v>0.74623186717861023</v>
      </c>
      <c r="AB66" s="2">
        <f t="shared" si="29"/>
        <v>2.8100025012619914</v>
      </c>
    </row>
    <row r="67" spans="1:28" s="2" customFormat="1" ht="14">
      <c r="A67" s="2">
        <v>110</v>
      </c>
      <c r="B67" s="2">
        <v>2700</v>
      </c>
      <c r="C67" s="2">
        <f t="shared" ref="C67:C101" si="37">(2*PI()*30/60)</f>
        <v>3.1415926535897927</v>
      </c>
      <c r="D67" s="4">
        <v>0.11602317925054828</v>
      </c>
      <c r="E67" s="4">
        <v>0.40351772747186354</v>
      </c>
      <c r="F67" s="4">
        <v>0.10710570224322934</v>
      </c>
      <c r="G67" s="4">
        <v>2.8014555957657625E-4</v>
      </c>
      <c r="H67" s="3">
        <v>1.5248193853761298</v>
      </c>
      <c r="I67" s="5">
        <f t="shared" ref="I67:I101" si="38">$G67*$D67*$B67</f>
        <v>8.7759121882495295E-2</v>
      </c>
      <c r="J67" s="5">
        <f t="shared" ref="J67:J101" si="39">$E67*$G67*$B67</f>
        <v>0.30521798881651874</v>
      </c>
      <c r="K67" s="5">
        <f t="shared" ref="K67:K101" si="40">$I67+$J67</f>
        <v>0.39297711069901403</v>
      </c>
      <c r="L67" s="5">
        <f t="shared" ref="L67:L101" si="41">0.2*$K67</f>
        <v>7.8595422139802806E-2</v>
      </c>
      <c r="M67" s="8">
        <f t="shared" ref="M67:M101" si="42">$D67*SIN($H67)+SQRT($E67^2-($D67*COS($H67)-$F67^2))</f>
        <v>0.52695491825406293</v>
      </c>
      <c r="N67" s="8">
        <f t="shared" si="30"/>
        <v>0.47806987736820045</v>
      </c>
      <c r="O67" s="2">
        <f t="shared" si="31"/>
        <v>0.19057177168684986</v>
      </c>
      <c r="P67" s="2">
        <f t="shared" si="32"/>
        <v>-0.56966020512270255</v>
      </c>
      <c r="Q67" s="2">
        <f t="shared" ref="Q67:Q101" si="43">$T67*COS($N67)</f>
        <v>109.95522731570213</v>
      </c>
      <c r="R67" s="9">
        <f t="shared" ref="R67:R101" si="44">$L67*$P67</f>
        <v>-4.4772684297865462E-2</v>
      </c>
      <c r="S67" s="9">
        <f t="shared" ref="S67:S101" si="45">$Q67+$R67</f>
        <v>109.91045463140426</v>
      </c>
      <c r="T67" s="9">
        <f t="shared" si="33"/>
        <v>123.83955326067564</v>
      </c>
      <c r="U67" s="9">
        <f t="shared" si="18"/>
        <v>-4.6187433933275812E-3</v>
      </c>
      <c r="V67" s="9">
        <f t="shared" si="19"/>
        <v>-0.1003870267079312</v>
      </c>
      <c r="W67" s="9">
        <f t="shared" si="20"/>
        <v>112.45761789217872</v>
      </c>
      <c r="X67" s="9">
        <f t="shared" si="34"/>
        <v>0.10049322326302555</v>
      </c>
      <c r="Y67" s="2">
        <f t="shared" si="35"/>
        <v>13.047690358793917</v>
      </c>
      <c r="Z67" s="2">
        <f t="shared" si="36"/>
        <v>40.990528177501332</v>
      </c>
      <c r="AA67" s="10">
        <f t="shared" ref="AA67:AA101" si="46">ASIN($F67/$D67)</f>
        <v>1.17617068647457</v>
      </c>
      <c r="AB67" s="2">
        <f t="shared" ref="AB67:AB101" si="47">(PI()+2*$AA67)/(PI()-2*$AA67)</f>
        <v>6.9609440761114545</v>
      </c>
    </row>
    <row r="68" spans="1:28" s="2" customFormat="1" ht="14">
      <c r="A68" s="2">
        <v>110</v>
      </c>
      <c r="B68" s="2">
        <v>2700</v>
      </c>
      <c r="C68" s="2">
        <f t="shared" si="37"/>
        <v>3.1415926535897927</v>
      </c>
      <c r="D68" s="4">
        <v>9.1519329476551503E-2</v>
      </c>
      <c r="E68" s="4">
        <v>0.72761007685011792</v>
      </c>
      <c r="F68" s="4">
        <v>7.8360147348404185E-2</v>
      </c>
      <c r="G68" s="4">
        <v>1.6337903722483396E-4</v>
      </c>
      <c r="H68" s="3">
        <v>0.75447526258186748</v>
      </c>
      <c r="I68" s="5">
        <f t="shared" si="38"/>
        <v>4.0371317830821651E-2</v>
      </c>
      <c r="J68" s="5">
        <f t="shared" si="39"/>
        <v>0.32096583134332124</v>
      </c>
      <c r="K68" s="5">
        <f t="shared" si="40"/>
        <v>0.36133714917414289</v>
      </c>
      <c r="L68" s="5">
        <f t="shared" si="41"/>
        <v>7.2267429834828575E-2</v>
      </c>
      <c r="M68" s="8">
        <f t="shared" si="42"/>
        <v>0.74742513015041201</v>
      </c>
      <c r="N68" s="8">
        <f t="shared" si="30"/>
        <v>0.65183448657066334</v>
      </c>
      <c r="O68" s="2">
        <f t="shared" si="31"/>
        <v>0.25451571916965404</v>
      </c>
      <c r="P68" s="2">
        <f t="shared" si="32"/>
        <v>-0.69504012634218715</v>
      </c>
      <c r="Q68" s="2">
        <f t="shared" si="43"/>
        <v>109.94977123643717</v>
      </c>
      <c r="R68" s="9">
        <f t="shared" si="44"/>
        <v>-5.0228763562824401E-2</v>
      </c>
      <c r="S68" s="9">
        <f t="shared" si="45"/>
        <v>109.89954247287434</v>
      </c>
      <c r="T68" s="9">
        <f t="shared" si="33"/>
        <v>138.30642614408532</v>
      </c>
      <c r="U68" s="9">
        <f t="shared" ref="U68:U101" si="48">-($I68)*(C68^2)*$D68*COS($H68)</f>
        <v>-2.6570098798978859E-2</v>
      </c>
      <c r="V68" s="9">
        <f t="shared" ref="V68:V101" si="49">-($I68)*(C68^2)*$D68*SIN(H68)</f>
        <v>-2.4975646576097712E-2</v>
      </c>
      <c r="W68" s="9">
        <f t="shared" ref="W68:W101" si="50">$T68*SIN($H68+$N68)</f>
        <v>136.43964292317898</v>
      </c>
      <c r="X68" s="9">
        <f t="shared" si="34"/>
        <v>3.6465779466256294E-2</v>
      </c>
      <c r="Y68" s="2">
        <f t="shared" si="35"/>
        <v>12.486864634349455</v>
      </c>
      <c r="Z68" s="2">
        <f t="shared" si="36"/>
        <v>39.228642201642444</v>
      </c>
      <c r="AA68" s="10">
        <f t="shared" si="46"/>
        <v>1.0278965094770895</v>
      </c>
      <c r="AB68" s="2">
        <f t="shared" si="47"/>
        <v>4.7866894653065293</v>
      </c>
    </row>
    <row r="69" spans="1:28" s="2" customFormat="1" ht="14">
      <c r="A69" s="2">
        <v>110</v>
      </c>
      <c r="B69" s="2">
        <v>2700</v>
      </c>
      <c r="C69" s="2">
        <f t="shared" si="37"/>
        <v>3.1415926535897927</v>
      </c>
      <c r="D69" s="4">
        <v>0.16446297746001873</v>
      </c>
      <c r="E69" s="4">
        <v>0.75985272419777228</v>
      </c>
      <c r="F69" s="4">
        <v>6.3549351443331903E-2</v>
      </c>
      <c r="G69" s="4">
        <v>3.000076307889304E-4</v>
      </c>
      <c r="H69" s="3">
        <v>2.6621715973278146E-2</v>
      </c>
      <c r="I69" s="5">
        <f t="shared" si="38"/>
        <v>0.13321840019473841</v>
      </c>
      <c r="J69" s="5">
        <f t="shared" si="39"/>
        <v>0.61549636194473822</v>
      </c>
      <c r="K69" s="5">
        <f t="shared" si="40"/>
        <v>0.74871476213947663</v>
      </c>
      <c r="L69" s="5">
        <f t="shared" si="41"/>
        <v>0.14974295242789534</v>
      </c>
      <c r="M69" s="8">
        <f t="shared" si="42"/>
        <v>0.65014086881087574</v>
      </c>
      <c r="N69" s="8">
        <f t="shared" si="30"/>
        <v>0.61694862664376182</v>
      </c>
      <c r="O69" s="2">
        <f t="shared" si="31"/>
        <v>0.52179581292854837</v>
      </c>
      <c r="P69" s="2">
        <f t="shared" si="32"/>
        <v>-0.55319472455675034</v>
      </c>
      <c r="Q69" s="2">
        <f t="shared" si="43"/>
        <v>109.91716298867733</v>
      </c>
      <c r="R69" s="9">
        <f t="shared" si="44"/>
        <v>-8.2837011322664134E-2</v>
      </c>
      <c r="S69" s="9">
        <f t="shared" si="45"/>
        <v>109.83432597735467</v>
      </c>
      <c r="T69" s="9">
        <f t="shared" si="33"/>
        <v>134.76060037680614</v>
      </c>
      <c r="U69" s="9">
        <f t="shared" si="48"/>
        <v>-0.21616142466505819</v>
      </c>
      <c r="V69" s="9">
        <f t="shared" si="49"/>
        <v>-5.7559478930608336E-3</v>
      </c>
      <c r="W69" s="9">
        <f t="shared" si="50"/>
        <v>80.863824025616964</v>
      </c>
      <c r="X69" s="9">
        <f t="shared" si="34"/>
        <v>0.21623804579531156</v>
      </c>
      <c r="Y69" s="2">
        <f t="shared" si="35"/>
        <v>13.299105268055964</v>
      </c>
      <c r="Z69" s="2">
        <f t="shared" si="36"/>
        <v>41.780371409441926</v>
      </c>
      <c r="AA69" s="10">
        <f t="shared" si="46"/>
        <v>0.39673088297106707</v>
      </c>
      <c r="AB69" s="2">
        <f t="shared" si="47"/>
        <v>1.6758241375011416</v>
      </c>
    </row>
    <row r="70" spans="1:28" s="2" customFormat="1" ht="14">
      <c r="A70" s="2">
        <v>110</v>
      </c>
      <c r="B70" s="2">
        <v>2700</v>
      </c>
      <c r="C70" s="2">
        <f t="shared" si="37"/>
        <v>3.1415926535897927</v>
      </c>
      <c r="D70" s="4">
        <v>0.16692152087152501</v>
      </c>
      <c r="E70" s="4">
        <v>0.60893376980174529</v>
      </c>
      <c r="F70" s="4">
        <v>5.667918364177485E-2</v>
      </c>
      <c r="G70" s="4">
        <v>3.3149743234237239E-4</v>
      </c>
      <c r="H70" s="3">
        <v>1.1153584824197758</v>
      </c>
      <c r="I70" s="5">
        <f t="shared" si="38"/>
        <v>0.1494019500433045</v>
      </c>
      <c r="J70" s="5">
        <f t="shared" si="39"/>
        <v>0.54502194912076751</v>
      </c>
      <c r="K70" s="5">
        <f t="shared" si="40"/>
        <v>0.69442389916407199</v>
      </c>
      <c r="L70" s="5">
        <f t="shared" si="41"/>
        <v>0.13888477983281441</v>
      </c>
      <c r="M70" s="8">
        <f t="shared" si="42"/>
        <v>0.69816922363819955</v>
      </c>
      <c r="N70" s="8">
        <f t="shared" si="30"/>
        <v>0.54404499462467248</v>
      </c>
      <c r="O70" s="2">
        <f t="shared" si="31"/>
        <v>0.34607440580392812</v>
      </c>
      <c r="P70" s="2">
        <f t="shared" si="32"/>
        <v>-1.2228093975822327</v>
      </c>
      <c r="Q70" s="2">
        <f t="shared" si="43"/>
        <v>109.8301703860393</v>
      </c>
      <c r="R70" s="9">
        <f t="shared" si="44"/>
        <v>-0.16982961396070481</v>
      </c>
      <c r="S70" s="9">
        <f t="shared" si="45"/>
        <v>109.6603407720786</v>
      </c>
      <c r="T70" s="9">
        <f t="shared" si="33"/>
        <v>128.36295853576854</v>
      </c>
      <c r="U70" s="9">
        <f t="shared" si="48"/>
        <v>-0.10826259697617721</v>
      </c>
      <c r="V70" s="9">
        <f t="shared" si="49"/>
        <v>-0.22104353672122606</v>
      </c>
      <c r="W70" s="9">
        <f t="shared" si="50"/>
        <v>127.85938477004859</v>
      </c>
      <c r="X70" s="9">
        <f t="shared" si="34"/>
        <v>0.24613214952592885</v>
      </c>
      <c r="Y70" s="2">
        <f t="shared" si="35"/>
        <v>21.342482963514012</v>
      </c>
      <c r="Z70" s="2">
        <f t="shared" si="36"/>
        <v>67.049387687540928</v>
      </c>
      <c r="AA70" s="10">
        <f t="shared" si="46"/>
        <v>0.34644468176027116</v>
      </c>
      <c r="AB70" s="2">
        <f t="shared" si="47"/>
        <v>1.5659234961871977</v>
      </c>
    </row>
    <row r="71" spans="1:28" s="2" customFormat="1" ht="14">
      <c r="A71" s="2">
        <v>110</v>
      </c>
      <c r="B71" s="2">
        <v>2700</v>
      </c>
      <c r="C71" s="2">
        <f t="shared" si="37"/>
        <v>3.1415926535897927</v>
      </c>
      <c r="D71" s="4">
        <v>0.11697453894729296</v>
      </c>
      <c r="E71" s="4">
        <v>0.49573444892191643</v>
      </c>
      <c r="F71" s="4">
        <v>6.3387189418037587E-2</v>
      </c>
      <c r="G71" s="4">
        <v>1.4358624378645675E-4</v>
      </c>
      <c r="H71" s="3">
        <v>1.2496708992377898</v>
      </c>
      <c r="I71" s="5">
        <f t="shared" si="38"/>
        <v>4.5349023598454843E-2</v>
      </c>
      <c r="J71" s="5">
        <f t="shared" si="39"/>
        <v>0.19218774807786715</v>
      </c>
      <c r="K71" s="5">
        <f t="shared" si="40"/>
        <v>0.23753677167632198</v>
      </c>
      <c r="L71" s="5">
        <f t="shared" si="41"/>
        <v>4.7507354335264401E-2</v>
      </c>
      <c r="M71" s="8">
        <f t="shared" si="42"/>
        <v>0.57235089616108747</v>
      </c>
      <c r="N71" s="8">
        <f t="shared" si="30"/>
        <v>0.48324566097726412</v>
      </c>
      <c r="O71" s="2">
        <f t="shared" si="31"/>
        <v>0.20064755444486149</v>
      </c>
      <c r="P71" s="2">
        <f t="shared" si="32"/>
        <v>-0.87358669190786031</v>
      </c>
      <c r="Q71" s="2">
        <f t="shared" si="43"/>
        <v>109.95849820748496</v>
      </c>
      <c r="R71" s="9">
        <f t="shared" si="44"/>
        <v>-4.1501792515038174E-2</v>
      </c>
      <c r="S71" s="9">
        <f t="shared" si="45"/>
        <v>109.91699641496993</v>
      </c>
      <c r="T71" s="9">
        <f t="shared" si="33"/>
        <v>124.1779298095589</v>
      </c>
      <c r="U71" s="9">
        <f t="shared" si="48"/>
        <v>-1.6525085349456604E-2</v>
      </c>
      <c r="V71" s="9">
        <f t="shared" si="49"/>
        <v>-4.9678752901609328E-2</v>
      </c>
      <c r="W71" s="9">
        <f t="shared" si="50"/>
        <v>122.54961849887434</v>
      </c>
      <c r="X71" s="9">
        <f t="shared" si="34"/>
        <v>5.2355104198788326E-2</v>
      </c>
      <c r="Y71" s="2">
        <f t="shared" si="35"/>
        <v>14.335185122072469</v>
      </c>
      <c r="Z71" s="2">
        <f t="shared" si="36"/>
        <v>45.035312267352566</v>
      </c>
      <c r="AA71" s="10">
        <f t="shared" si="46"/>
        <v>0.57268282060917963</v>
      </c>
      <c r="AB71" s="2">
        <f t="shared" si="47"/>
        <v>2.1475304503145791</v>
      </c>
    </row>
    <row r="72" spans="1:28" s="2" customFormat="1" ht="14">
      <c r="A72" s="2">
        <v>110</v>
      </c>
      <c r="B72" s="2">
        <v>2700</v>
      </c>
      <c r="C72" s="2">
        <f t="shared" si="37"/>
        <v>3.1415926535897927</v>
      </c>
      <c r="D72" s="4">
        <v>9.3846446099189046E-2</v>
      </c>
      <c r="E72" s="4">
        <v>0.3185294943223379</v>
      </c>
      <c r="F72" s="4">
        <v>5.6951359557653861E-2</v>
      </c>
      <c r="G72" s="4">
        <v>4.930172916553598E-4</v>
      </c>
      <c r="H72" s="3">
        <v>1.2040465282412558</v>
      </c>
      <c r="I72" s="5">
        <f t="shared" si="38"/>
        <v>0.1249233858557178</v>
      </c>
      <c r="J72" s="5">
        <f t="shared" si="39"/>
        <v>0.42400948122850596</v>
      </c>
      <c r="K72" s="5">
        <f t="shared" si="40"/>
        <v>0.54893286708422373</v>
      </c>
      <c r="L72" s="5">
        <f t="shared" si="41"/>
        <v>0.10978657341684475</v>
      </c>
      <c r="M72" s="8">
        <f t="shared" si="42"/>
        <v>0.35416262526134923</v>
      </c>
      <c r="N72" s="8">
        <f t="shared" si="30"/>
        <v>0.31288233302071283</v>
      </c>
      <c r="O72" s="2">
        <f t="shared" si="31"/>
        <v>0.24416139834616157</v>
      </c>
      <c r="P72" s="2">
        <f t="shared" si="32"/>
        <v>-0.33173556534416471</v>
      </c>
      <c r="Q72" s="2">
        <f t="shared" si="43"/>
        <v>109.96357988900037</v>
      </c>
      <c r="R72" s="9">
        <f t="shared" si="44"/>
        <v>-3.6420110999635637E-2</v>
      </c>
      <c r="S72" s="9">
        <f t="shared" si="45"/>
        <v>109.92715977800074</v>
      </c>
      <c r="T72" s="9">
        <f t="shared" si="33"/>
        <v>115.57469253986358</v>
      </c>
      <c r="U72" s="9">
        <f t="shared" si="48"/>
        <v>-4.1490756456678719E-2</v>
      </c>
      <c r="V72" s="9">
        <f t="shared" si="49"/>
        <v>-0.10801264338096413</v>
      </c>
      <c r="W72" s="9">
        <f t="shared" si="50"/>
        <v>115.40705131809887</v>
      </c>
      <c r="X72" s="9">
        <f t="shared" si="34"/>
        <v>0.11570745006908915</v>
      </c>
      <c r="Y72" s="2">
        <f t="shared" si="35"/>
        <v>10.83054162099031</v>
      </c>
      <c r="Z72" s="2">
        <f t="shared" si="36"/>
        <v>34.025149990901646</v>
      </c>
      <c r="AA72" s="10">
        <f t="shared" si="46"/>
        <v>0.65210001695960518</v>
      </c>
      <c r="AB72" s="2">
        <f t="shared" si="47"/>
        <v>2.4196204120521982</v>
      </c>
    </row>
    <row r="73" spans="1:28" s="2" customFormat="1" ht="14">
      <c r="A73" s="2">
        <v>110</v>
      </c>
      <c r="B73" s="2">
        <v>2700</v>
      </c>
      <c r="C73" s="2">
        <f t="shared" si="37"/>
        <v>3.1415926535897927</v>
      </c>
      <c r="D73" s="4">
        <v>0.17882998331002614</v>
      </c>
      <c r="E73" s="4">
        <v>0.66241625482187949</v>
      </c>
      <c r="F73" s="4">
        <v>0.14605605284836071</v>
      </c>
      <c r="G73" s="4">
        <v>2.7857454439418963E-4</v>
      </c>
      <c r="H73" s="3">
        <v>1.3215965073441216</v>
      </c>
      <c r="I73" s="5">
        <f t="shared" si="38"/>
        <v>0.13450719903644986</v>
      </c>
      <c r="J73" s="5">
        <f t="shared" si="39"/>
        <v>0.49823722724303837</v>
      </c>
      <c r="K73" s="5">
        <f t="shared" si="40"/>
        <v>0.63274442627948824</v>
      </c>
      <c r="L73" s="5">
        <f t="shared" si="41"/>
        <v>0.12654888525589766</v>
      </c>
      <c r="M73" s="8">
        <f t="shared" si="42"/>
        <v>0.81830445189142631</v>
      </c>
      <c r="N73" s="8">
        <f t="shared" si="30"/>
        <v>0.66926255789213751</v>
      </c>
      <c r="O73" s="2">
        <f t="shared" si="31"/>
        <v>0.33357265879905917</v>
      </c>
      <c r="P73" s="2">
        <f t="shared" si="32"/>
        <v>-1.2916345470419739</v>
      </c>
      <c r="Q73" s="2">
        <f t="shared" si="43"/>
        <v>109.83654508791383</v>
      </c>
      <c r="R73" s="9">
        <f t="shared" si="44"/>
        <v>-0.16345491208616811</v>
      </c>
      <c r="S73" s="9">
        <f t="shared" si="45"/>
        <v>109.67309017582767</v>
      </c>
      <c r="T73" s="9">
        <f t="shared" si="33"/>
        <v>140.04772526048998</v>
      </c>
      <c r="U73" s="9">
        <f t="shared" si="48"/>
        <v>-5.8550283809155092E-2</v>
      </c>
      <c r="V73" s="9">
        <f t="shared" si="49"/>
        <v>-0.23006932642667677</v>
      </c>
      <c r="W73" s="9">
        <f t="shared" si="50"/>
        <v>127.87244606292705</v>
      </c>
      <c r="X73" s="9">
        <f t="shared" si="34"/>
        <v>0.23740267626241571</v>
      </c>
      <c r="Y73" s="2">
        <f t="shared" si="35"/>
        <v>22.867427395245464</v>
      </c>
      <c r="Z73" s="2">
        <f t="shared" si="36"/>
        <v>71.840141911401119</v>
      </c>
      <c r="AA73" s="10">
        <f t="shared" si="46"/>
        <v>0.95572335893469629</v>
      </c>
      <c r="AB73" s="2">
        <f t="shared" si="47"/>
        <v>4.1076747276330385</v>
      </c>
    </row>
    <row r="74" spans="1:28" s="2" customFormat="1" ht="14">
      <c r="A74" s="2">
        <v>110</v>
      </c>
      <c r="B74" s="2">
        <v>2700</v>
      </c>
      <c r="C74" s="2">
        <f t="shared" si="37"/>
        <v>3.1415926535897927</v>
      </c>
      <c r="D74" s="4">
        <v>0.1912449192687275</v>
      </c>
      <c r="E74" s="4">
        <v>0.31051943548547145</v>
      </c>
      <c r="F74" s="4">
        <v>8.2267367656387438E-2</v>
      </c>
      <c r="G74" s="4">
        <v>3.8940671028997329E-4</v>
      </c>
      <c r="H74" s="3">
        <v>1.7362243814365688</v>
      </c>
      <c r="I74" s="5">
        <f t="shared" si="38"/>
        <v>0.20107454815468809</v>
      </c>
      <c r="J74" s="5">
        <f t="shared" si="39"/>
        <v>0.32647955000444201</v>
      </c>
      <c r="K74" s="5">
        <f t="shared" si="40"/>
        <v>0.52755409815913012</v>
      </c>
      <c r="L74" s="5">
        <f t="shared" si="41"/>
        <v>0.10551081963182603</v>
      </c>
      <c r="M74" s="8">
        <f t="shared" si="42"/>
        <v>0.55562642196697554</v>
      </c>
      <c r="N74" s="8">
        <f t="shared" si="30"/>
        <v>0.42223816678492415</v>
      </c>
      <c r="O74" s="2">
        <f t="shared" si="31"/>
        <v>0.21878170300263974</v>
      </c>
      <c r="P74" s="2">
        <f t="shared" si="32"/>
        <v>-0.11608925539517401</v>
      </c>
      <c r="Q74" s="2">
        <f t="shared" si="43"/>
        <v>109.98775132751281</v>
      </c>
      <c r="R74" s="9">
        <f t="shared" si="44"/>
        <v>-1.2248672487193191E-2</v>
      </c>
      <c r="S74" s="9">
        <f t="shared" si="45"/>
        <v>109.97550265502562</v>
      </c>
      <c r="T74" s="9">
        <f t="shared" si="33"/>
        <v>120.57759718804887</v>
      </c>
      <c r="U74" s="9">
        <f t="shared" si="48"/>
        <v>6.2499027054378792E-2</v>
      </c>
      <c r="V74" s="9">
        <f t="shared" si="49"/>
        <v>-0.37434919366658176</v>
      </c>
      <c r="W74" s="9">
        <f t="shared" si="50"/>
        <v>100.34911827630594</v>
      </c>
      <c r="X74" s="9">
        <f t="shared" si="34"/>
        <v>0.37953056159097898</v>
      </c>
      <c r="Y74" s="2">
        <f t="shared" si="35"/>
        <v>19.191259023440118</v>
      </c>
      <c r="Z74" s="2">
        <f t="shared" si="36"/>
        <v>60.291118361178292</v>
      </c>
      <c r="AA74" s="10">
        <f t="shared" si="46"/>
        <v>0.44467842225728571</v>
      </c>
      <c r="AB74" s="2">
        <f t="shared" si="47"/>
        <v>1.7897546437464249</v>
      </c>
    </row>
    <row r="75" spans="1:28" s="2" customFormat="1" ht="14">
      <c r="A75" s="2">
        <v>110</v>
      </c>
      <c r="B75" s="2">
        <v>2700</v>
      </c>
      <c r="C75" s="2">
        <f t="shared" si="37"/>
        <v>3.1415926535897927</v>
      </c>
      <c r="D75" s="4">
        <v>0.10217889197109109</v>
      </c>
      <c r="E75" s="4">
        <v>0.68927908514068037</v>
      </c>
      <c r="F75" s="4">
        <v>8.2565036734027958E-2</v>
      </c>
      <c r="G75" s="4">
        <v>3.4333006039858667E-4</v>
      </c>
      <c r="H75" s="3">
        <v>2.0255615098107822</v>
      </c>
      <c r="I75" s="5">
        <f t="shared" si="38"/>
        <v>9.4718929910117489E-2</v>
      </c>
      <c r="J75" s="5">
        <f t="shared" si="39"/>
        <v>0.63895562081864732</v>
      </c>
      <c r="K75" s="5">
        <f t="shared" si="40"/>
        <v>0.73367455072876475</v>
      </c>
      <c r="L75" s="5">
        <f t="shared" si="41"/>
        <v>0.14673491014575296</v>
      </c>
      <c r="M75" s="8">
        <f t="shared" si="42"/>
        <v>0.81760709951534039</v>
      </c>
      <c r="N75" s="8">
        <f t="shared" si="30"/>
        <v>0.67982881033198372</v>
      </c>
      <c r="O75" s="2">
        <f t="shared" si="31"/>
        <v>-0.12320436406192692</v>
      </c>
      <c r="P75" s="2">
        <f t="shared" si="32"/>
        <v>-0.76032817239274153</v>
      </c>
      <c r="Q75" s="2">
        <f t="shared" si="43"/>
        <v>109.88843331394267</v>
      </c>
      <c r="R75" s="9">
        <f t="shared" si="44"/>
        <v>-0.1115666860573335</v>
      </c>
      <c r="S75" s="9">
        <f t="shared" si="45"/>
        <v>109.77686662788534</v>
      </c>
      <c r="T75" s="9">
        <f t="shared" si="33"/>
        <v>141.30282870340065</v>
      </c>
      <c r="U75" s="9">
        <f t="shared" si="48"/>
        <v>4.1957620123532116E-2</v>
      </c>
      <c r="V75" s="9">
        <f t="shared" si="49"/>
        <v>-8.5812420544988222E-2</v>
      </c>
      <c r="W75" s="9">
        <f t="shared" si="50"/>
        <v>59.700509658959341</v>
      </c>
      <c r="X75" s="9">
        <f t="shared" si="34"/>
        <v>9.5520748563966681E-2</v>
      </c>
      <c r="Y75" s="2">
        <f t="shared" si="35"/>
        <v>6.100131927061887</v>
      </c>
      <c r="Z75" s="2">
        <f t="shared" si="36"/>
        <v>19.164129647986169</v>
      </c>
      <c r="AA75" s="10">
        <f t="shared" si="46"/>
        <v>0.94082425596701658</v>
      </c>
      <c r="AB75" s="2">
        <f t="shared" si="47"/>
        <v>3.9868760839845776</v>
      </c>
    </row>
    <row r="76" spans="1:28" s="2" customFormat="1" ht="14">
      <c r="A76" s="2">
        <v>110</v>
      </c>
      <c r="B76" s="2">
        <v>2700</v>
      </c>
      <c r="C76" s="2">
        <f t="shared" si="37"/>
        <v>3.1415926535897927</v>
      </c>
      <c r="D76" s="4">
        <v>0.13405990012911995</v>
      </c>
      <c r="E76" s="4">
        <v>0.55838564519695921</v>
      </c>
      <c r="F76" s="4">
        <v>0.13092489983432126</v>
      </c>
      <c r="G76" s="4">
        <v>1.9816868344781638E-4</v>
      </c>
      <c r="H76" s="3">
        <v>0.95347955968842923</v>
      </c>
      <c r="I76" s="5">
        <f t="shared" si="38"/>
        <v>7.1729479561680312E-2</v>
      </c>
      <c r="J76" s="5">
        <f t="shared" si="39"/>
        <v>0.29876728004507053</v>
      </c>
      <c r="K76" s="5">
        <f t="shared" si="40"/>
        <v>0.37049675960675083</v>
      </c>
      <c r="L76" s="5">
        <f t="shared" si="41"/>
        <v>7.4099351921350171E-2</v>
      </c>
      <c r="M76" s="8">
        <f t="shared" si="42"/>
        <v>0.61065068556656654</v>
      </c>
      <c r="N76" s="8">
        <f t="shared" si="30"/>
        <v>0.56380189692960891</v>
      </c>
      <c r="O76" s="2">
        <f t="shared" si="31"/>
        <v>0.43801452530093188</v>
      </c>
      <c r="P76" s="2">
        <f t="shared" si="32"/>
        <v>-1.0267879606180106</v>
      </c>
      <c r="Q76" s="2">
        <f t="shared" si="43"/>
        <v>109.92391567755756</v>
      </c>
      <c r="R76" s="9">
        <f t="shared" si="44"/>
        <v>-7.60843224424394E-2</v>
      </c>
      <c r="S76" s="9">
        <f t="shared" si="45"/>
        <v>109.84783135511512</v>
      </c>
      <c r="T76" s="9">
        <f t="shared" si="33"/>
        <v>130.05215579212165</v>
      </c>
      <c r="U76" s="9">
        <f t="shared" si="48"/>
        <v>-5.493660139556733E-2</v>
      </c>
      <c r="V76" s="9">
        <f t="shared" si="49"/>
        <v>-7.7390105728063902E-2</v>
      </c>
      <c r="W76" s="9">
        <f t="shared" si="50"/>
        <v>129.86597586155688</v>
      </c>
      <c r="X76" s="9">
        <f t="shared" si="34"/>
        <v>9.4906578473235248E-2</v>
      </c>
      <c r="Y76" s="2">
        <f t="shared" si="35"/>
        <v>17.409819754171018</v>
      </c>
      <c r="Z76" s="2">
        <f t="shared" si="36"/>
        <v>54.694561840026118</v>
      </c>
      <c r="AA76" s="10">
        <f t="shared" si="46"/>
        <v>1.3541085912738953</v>
      </c>
      <c r="AB76" s="2">
        <f t="shared" si="47"/>
        <v>13.498248578934044</v>
      </c>
    </row>
    <row r="77" spans="1:28" s="2" customFormat="1" ht="14">
      <c r="A77" s="2">
        <v>110</v>
      </c>
      <c r="B77" s="2">
        <v>2700</v>
      </c>
      <c r="C77" s="2">
        <f t="shared" si="37"/>
        <v>3.1415926535897927</v>
      </c>
      <c r="D77" s="4">
        <v>0.11805114619666361</v>
      </c>
      <c r="E77" s="4">
        <v>0.64266531198559196</v>
      </c>
      <c r="F77" s="4">
        <v>9.5862633889109261E-2</v>
      </c>
      <c r="G77" s="4">
        <v>4.988381776998887E-4</v>
      </c>
      <c r="H77" s="3">
        <v>0.79885586241703133</v>
      </c>
      <c r="I77" s="5">
        <f t="shared" si="38"/>
        <v>0.15899873033914241</v>
      </c>
      <c r="J77" s="5">
        <f t="shared" si="39"/>
        <v>0.86558218137492249</v>
      </c>
      <c r="K77" s="5">
        <f t="shared" si="40"/>
        <v>1.024580911714065</v>
      </c>
      <c r="L77" s="5">
        <f t="shared" si="41"/>
        <v>0.204916182342813</v>
      </c>
      <c r="M77" s="8">
        <f t="shared" si="42"/>
        <v>0.66756952627652111</v>
      </c>
      <c r="N77" s="8">
        <f t="shared" si="30"/>
        <v>0.59638411479124775</v>
      </c>
      <c r="O77" s="2">
        <f t="shared" si="31"/>
        <v>0.35161819130972166</v>
      </c>
      <c r="P77" s="2">
        <f t="shared" si="32"/>
        <v>-0.93481969014639399</v>
      </c>
      <c r="Q77" s="2">
        <f t="shared" si="43"/>
        <v>109.80844031791631</v>
      </c>
      <c r="R77" s="9">
        <f t="shared" si="44"/>
        <v>-0.19155968208369042</v>
      </c>
      <c r="S77" s="9">
        <f t="shared" si="45"/>
        <v>109.61688063583262</v>
      </c>
      <c r="T77" s="9">
        <f t="shared" si="33"/>
        <v>132.71956742630215</v>
      </c>
      <c r="U77" s="9">
        <f t="shared" si="48"/>
        <v>-0.12921848275678818</v>
      </c>
      <c r="V77" s="9">
        <f t="shared" si="49"/>
        <v>-0.13274410931959121</v>
      </c>
      <c r="W77" s="9">
        <f t="shared" si="50"/>
        <v>130.67960417141862</v>
      </c>
      <c r="X77" s="9">
        <f t="shared" si="34"/>
        <v>0.18525230051207986</v>
      </c>
      <c r="Y77" s="2">
        <f t="shared" si="35"/>
        <v>15.426877056962271</v>
      </c>
      <c r="Z77" s="2">
        <f t="shared" si="36"/>
        <v>48.46496362998559</v>
      </c>
      <c r="AA77" s="10">
        <f t="shared" si="46"/>
        <v>0.94764472885338458</v>
      </c>
      <c r="AB77" s="2">
        <f t="shared" si="47"/>
        <v>4.0414580721088962</v>
      </c>
    </row>
    <row r="78" spans="1:28" s="2" customFormat="1" ht="14">
      <c r="A78" s="2">
        <v>110</v>
      </c>
      <c r="B78" s="2">
        <v>2700</v>
      </c>
      <c r="C78" s="2">
        <f t="shared" si="37"/>
        <v>3.1415926535897927</v>
      </c>
      <c r="D78" s="4">
        <v>0.18470328868220587</v>
      </c>
      <c r="E78" s="4">
        <v>0.62829292474529852</v>
      </c>
      <c r="F78" s="4">
        <v>5.8139861294632555E-2</v>
      </c>
      <c r="G78" s="4">
        <v>3.0992000515254293E-4</v>
      </c>
      <c r="H78" s="3">
        <v>0.37614737481168198</v>
      </c>
      <c r="I78" s="5">
        <f t="shared" si="38"/>
        <v>0.15455675928621834</v>
      </c>
      <c r="J78" s="5">
        <f t="shared" si="39"/>
        <v>0.52574547548079675</v>
      </c>
      <c r="K78" s="5">
        <f t="shared" si="40"/>
        <v>0.68030223476701512</v>
      </c>
      <c r="L78" s="5">
        <f t="shared" si="41"/>
        <v>0.13606044695340302</v>
      </c>
      <c r="M78" s="8">
        <f t="shared" si="42"/>
        <v>0.54360319909997434</v>
      </c>
      <c r="N78" s="8">
        <f t="shared" si="30"/>
        <v>0.49039386015627379</v>
      </c>
      <c r="O78" s="2">
        <f t="shared" si="31"/>
        <v>0.65624309480026377</v>
      </c>
      <c r="P78" s="2">
        <f t="shared" si="32"/>
        <v>-1.2286187307485752</v>
      </c>
      <c r="Q78" s="2">
        <f t="shared" si="43"/>
        <v>109.83283358635903</v>
      </c>
      <c r="R78" s="9">
        <f t="shared" si="44"/>
        <v>-0.16716641364097387</v>
      </c>
      <c r="S78" s="9">
        <f t="shared" si="45"/>
        <v>109.66566717271806</v>
      </c>
      <c r="T78" s="9">
        <f t="shared" si="33"/>
        <v>124.50621055707852</v>
      </c>
      <c r="U78" s="9">
        <f t="shared" si="48"/>
        <v>-0.26205100982214174</v>
      </c>
      <c r="V78" s="9">
        <f t="shared" si="49"/>
        <v>-0.1034976559881072</v>
      </c>
      <c r="W78" s="9">
        <f t="shared" si="50"/>
        <v>94.885444259247578</v>
      </c>
      <c r="X78" s="9">
        <f t="shared" si="34"/>
        <v>0.28174899563944644</v>
      </c>
      <c r="Y78" s="2">
        <f t="shared" si="35"/>
        <v>17.52565360275516</v>
      </c>
      <c r="Z78" s="2">
        <f t="shared" si="36"/>
        <v>55.058464607775093</v>
      </c>
      <c r="AA78" s="10">
        <f t="shared" si="46"/>
        <v>0.32021893064530232</v>
      </c>
      <c r="AB78" s="2">
        <f t="shared" si="47"/>
        <v>1.5121137350334735</v>
      </c>
    </row>
    <row r="79" spans="1:28" s="2" customFormat="1" ht="14">
      <c r="A79" s="2">
        <v>110</v>
      </c>
      <c r="B79" s="2">
        <v>2700</v>
      </c>
      <c r="C79" s="2">
        <f t="shared" si="37"/>
        <v>3.1415926535897927</v>
      </c>
      <c r="D79" s="4">
        <v>9.7167438671894008E-2</v>
      </c>
      <c r="E79" s="4">
        <v>0.79418549668080252</v>
      </c>
      <c r="F79" s="4">
        <v>5.4825814830803482E-2</v>
      </c>
      <c r="G79" s="4">
        <v>2.0023449004011377E-4</v>
      </c>
      <c r="H79" s="3">
        <v>1.9048603754634013</v>
      </c>
      <c r="I79" s="5">
        <f t="shared" si="38"/>
        <v>5.2531935833620959E-2</v>
      </c>
      <c r="J79" s="5">
        <f t="shared" si="39"/>
        <v>0.42936298539786438</v>
      </c>
      <c r="K79" s="5">
        <f t="shared" si="40"/>
        <v>0.48189492123148536</v>
      </c>
      <c r="L79" s="5">
        <f t="shared" si="41"/>
        <v>9.6378984246297081E-2</v>
      </c>
      <c r="M79" s="8">
        <f t="shared" si="42"/>
        <v>0.907636601190554</v>
      </c>
      <c r="N79" s="8">
        <f t="shared" si="30"/>
        <v>0.71637042216223379</v>
      </c>
      <c r="O79" s="2">
        <f t="shared" si="31"/>
        <v>-9.1282750520242498E-2</v>
      </c>
      <c r="P79" s="2">
        <f t="shared" si="32"/>
        <v>-0.79204142154058732</v>
      </c>
      <c r="Q79" s="2">
        <f t="shared" si="43"/>
        <v>109.92366385231094</v>
      </c>
      <c r="R79" s="9">
        <f t="shared" si="44"/>
        <v>-7.6336147689075012E-2</v>
      </c>
      <c r="S79" s="9">
        <f t="shared" si="45"/>
        <v>109.84732770462186</v>
      </c>
      <c r="T79" s="9">
        <f t="shared" si="33"/>
        <v>145.74984040752733</v>
      </c>
      <c r="U79" s="9">
        <f t="shared" si="48"/>
        <v>1.6518309235145422E-2</v>
      </c>
      <c r="V79" s="9">
        <f t="shared" si="49"/>
        <v>-4.7593310584956479E-2</v>
      </c>
      <c r="W79" s="9">
        <f t="shared" si="50"/>
        <v>72.465965223265002</v>
      </c>
      <c r="X79" s="9">
        <f t="shared" si="34"/>
        <v>5.0378346066777747E-2</v>
      </c>
      <c r="Y79" s="2">
        <f t="shared" si="35"/>
        <v>7.0413322316312064</v>
      </c>
      <c r="Z79" s="2">
        <f t="shared" si="36"/>
        <v>22.120997610377618</v>
      </c>
      <c r="AA79" s="10">
        <f t="shared" si="46"/>
        <v>0.59951317151526595</v>
      </c>
      <c r="AB79" s="2">
        <f t="shared" si="47"/>
        <v>2.2344766163326848</v>
      </c>
    </row>
    <row r="80" spans="1:28" s="2" customFormat="1" ht="14">
      <c r="A80" s="2">
        <v>110</v>
      </c>
      <c r="B80" s="2">
        <v>2700</v>
      </c>
      <c r="C80" s="2">
        <f t="shared" si="37"/>
        <v>3.1415926535897927</v>
      </c>
      <c r="D80" s="4">
        <v>8.0429014274886301E-2</v>
      </c>
      <c r="E80" s="4">
        <v>0.43643132045322741</v>
      </c>
      <c r="F80" s="4">
        <v>5.4395402048749479E-2</v>
      </c>
      <c r="G80" s="4">
        <v>3.3745305582038492E-4</v>
      </c>
      <c r="H80" s="3">
        <v>1.314655712748946</v>
      </c>
      <c r="I80" s="5">
        <f t="shared" si="38"/>
        <v>7.3280744937940706E-2</v>
      </c>
      <c r="J80" s="5">
        <f t="shared" si="39"/>
        <v>0.39764272340520157</v>
      </c>
      <c r="K80" s="5">
        <f t="shared" si="40"/>
        <v>0.47092346834314225</v>
      </c>
      <c r="L80" s="5">
        <f t="shared" si="41"/>
        <v>9.4184693668628458E-2</v>
      </c>
      <c r="M80" s="8">
        <f t="shared" si="42"/>
        <v>0.49380326972456573</v>
      </c>
      <c r="N80" s="8">
        <f t="shared" si="30"/>
        <v>0.43968327103320437</v>
      </c>
      <c r="O80" s="2">
        <f t="shared" si="31"/>
        <v>0.11452794150564449</v>
      </c>
      <c r="P80" s="2">
        <f t="shared" si="32"/>
        <v>-0.63749474862294719</v>
      </c>
      <c r="Q80" s="2">
        <f t="shared" si="43"/>
        <v>109.9399577523856</v>
      </c>
      <c r="R80" s="9">
        <f t="shared" si="44"/>
        <v>-6.0042247614411584E-2</v>
      </c>
      <c r="S80" s="9">
        <f t="shared" si="45"/>
        <v>109.87991550477119</v>
      </c>
      <c r="T80" s="9">
        <f t="shared" si="33"/>
        <v>121.49585024231105</v>
      </c>
      <c r="U80" s="9">
        <f t="shared" si="48"/>
        <v>-1.4737421946642668E-2</v>
      </c>
      <c r="V80" s="9">
        <f t="shared" si="49"/>
        <v>-5.6272628938512405E-2</v>
      </c>
      <c r="W80" s="9">
        <f t="shared" si="50"/>
        <v>119.45511845575535</v>
      </c>
      <c r="X80" s="9">
        <f t="shared" si="34"/>
        <v>5.8170442436729745E-2</v>
      </c>
      <c r="Y80" s="2">
        <f t="shared" si="35"/>
        <v>9.6076574274861812</v>
      </c>
      <c r="Z80" s="2">
        <f t="shared" si="36"/>
        <v>30.183345992397992</v>
      </c>
      <c r="AA80" s="10">
        <f t="shared" si="46"/>
        <v>0.74274934054305242</v>
      </c>
      <c r="AB80" s="2">
        <f t="shared" si="47"/>
        <v>2.7939787303740053</v>
      </c>
    </row>
    <row r="81" spans="1:28" s="2" customFormat="1" ht="14">
      <c r="A81" s="2">
        <v>110</v>
      </c>
      <c r="B81" s="2">
        <v>2700</v>
      </c>
      <c r="C81" s="2">
        <f t="shared" si="37"/>
        <v>3.1415926535897927</v>
      </c>
      <c r="D81" s="4">
        <v>0.14092760757133893</v>
      </c>
      <c r="E81" s="4">
        <v>0.78625048717287438</v>
      </c>
      <c r="F81" s="4">
        <v>7.1506176044238812E-2</v>
      </c>
      <c r="G81" s="4">
        <v>3.304231608965547E-4</v>
      </c>
      <c r="H81" s="3">
        <v>1.5135446169062197</v>
      </c>
      <c r="I81" s="5">
        <f t="shared" si="38"/>
        <v>0.12572751298853982</v>
      </c>
      <c r="J81" s="5">
        <f t="shared" si="39"/>
        <v>0.70144750231591646</v>
      </c>
      <c r="K81" s="5">
        <f t="shared" si="40"/>
        <v>0.82717501530445625</v>
      </c>
      <c r="L81" s="5">
        <f t="shared" si="41"/>
        <v>0.16543500306089126</v>
      </c>
      <c r="M81" s="8">
        <f t="shared" si="42"/>
        <v>0.92506844461698001</v>
      </c>
      <c r="N81" s="8">
        <f t="shared" si="30"/>
        <v>0.70789661329180553</v>
      </c>
      <c r="O81" s="2">
        <f t="shared" si="31"/>
        <v>7.2921794804068379E-2</v>
      </c>
      <c r="P81" s="2">
        <f t="shared" si="32"/>
        <v>-1.1442456566969093</v>
      </c>
      <c r="Q81" s="2">
        <f t="shared" si="43"/>
        <v>109.81070171628193</v>
      </c>
      <c r="R81" s="9">
        <f t="shared" si="44"/>
        <v>-0.1892982837180647</v>
      </c>
      <c r="S81" s="9">
        <f t="shared" si="45"/>
        <v>109.62140343256387</v>
      </c>
      <c r="T81" s="9">
        <f t="shared" si="33"/>
        <v>144.53887590615761</v>
      </c>
      <c r="U81" s="9">
        <f t="shared" si="48"/>
        <v>-1.0006387878595728E-2</v>
      </c>
      <c r="V81" s="9">
        <f t="shared" si="49"/>
        <v>-0.17458784493971605</v>
      </c>
      <c r="W81" s="9">
        <f t="shared" si="50"/>
        <v>115.00862183410334</v>
      </c>
      <c r="X81" s="9">
        <f t="shared" si="34"/>
        <v>0.1748743646137742</v>
      </c>
      <c r="Y81" s="2">
        <f t="shared" si="35"/>
        <v>16.207889925157037</v>
      </c>
      <c r="Z81" s="2">
        <f t="shared" si="36"/>
        <v>50.918587919065359</v>
      </c>
      <c r="AA81" s="10">
        <f t="shared" si="46"/>
        <v>0.53216079476564138</v>
      </c>
      <c r="AB81" s="2">
        <f t="shared" si="47"/>
        <v>2.0247305784463614</v>
      </c>
    </row>
    <row r="82" spans="1:28" s="2" customFormat="1" ht="14">
      <c r="A82" s="2">
        <v>110</v>
      </c>
      <c r="B82" s="2">
        <v>2700</v>
      </c>
      <c r="C82" s="2">
        <f t="shared" si="37"/>
        <v>3.1415926535897927</v>
      </c>
      <c r="D82" s="4">
        <v>0.13686143087198921</v>
      </c>
      <c r="E82" s="4">
        <v>0.53338113726494496</v>
      </c>
      <c r="F82" s="4">
        <v>6.8227837575558906E-2</v>
      </c>
      <c r="G82" s="4">
        <v>3.0032646933435568E-4</v>
      </c>
      <c r="H82" s="3">
        <v>1.6313012806663703</v>
      </c>
      <c r="I82" s="5">
        <f t="shared" si="38"/>
        <v>0.11097839786894778</v>
      </c>
      <c r="J82" s="5">
        <f t="shared" si="39"/>
        <v>0.43250887916367547</v>
      </c>
      <c r="K82" s="5">
        <f t="shared" si="40"/>
        <v>0.54348727703262323</v>
      </c>
      <c r="L82" s="5">
        <f t="shared" si="41"/>
        <v>0.10869745540652465</v>
      </c>
      <c r="M82" s="8">
        <f t="shared" si="42"/>
        <v>0.6819789588331755</v>
      </c>
      <c r="N82" s="8">
        <f t="shared" si="30"/>
        <v>0.55035648219133237</v>
      </c>
      <c r="O82" s="2">
        <f t="shared" si="31"/>
        <v>2.9393004310463433E-2</v>
      </c>
      <c r="P82" s="2">
        <f t="shared" si="32"/>
        <v>-0.97659124802486796</v>
      </c>
      <c r="Q82" s="2">
        <f t="shared" si="43"/>
        <v>109.89384701636742</v>
      </c>
      <c r="R82" s="9">
        <f t="shared" si="44"/>
        <v>-0.10615298363258534</v>
      </c>
      <c r="S82" s="9">
        <f t="shared" si="45"/>
        <v>109.78769403273483</v>
      </c>
      <c r="T82" s="9">
        <f t="shared" si="33"/>
        <v>128.93221828464235</v>
      </c>
      <c r="U82" s="9">
        <f t="shared" si="48"/>
        <v>9.0645279650506966E-3</v>
      </c>
      <c r="V82" s="9">
        <f t="shared" si="49"/>
        <v>-0.14963178044961678</v>
      </c>
      <c r="W82" s="9">
        <f t="shared" si="50"/>
        <v>105.61537135915265</v>
      </c>
      <c r="X82" s="9">
        <f t="shared" si="34"/>
        <v>0.14990608856131063</v>
      </c>
      <c r="Y82" s="2">
        <f t="shared" si="35"/>
        <v>14.454670846290139</v>
      </c>
      <c r="Z82" s="2">
        <f t="shared" si="36"/>
        <v>45.410687740763649</v>
      </c>
      <c r="AA82" s="10">
        <f t="shared" si="46"/>
        <v>0.52188793823909496</v>
      </c>
      <c r="AB82" s="2">
        <f t="shared" si="47"/>
        <v>1.9951068061485535</v>
      </c>
    </row>
    <row r="83" spans="1:28" s="2" customFormat="1" ht="14">
      <c r="A83" s="2">
        <v>110</v>
      </c>
      <c r="B83" s="2">
        <v>2700</v>
      </c>
      <c r="C83" s="2">
        <f t="shared" si="37"/>
        <v>3.1415926535897927</v>
      </c>
      <c r="D83" s="4">
        <v>0.19514220354089257</v>
      </c>
      <c r="E83" s="4">
        <v>0.66889306267445492</v>
      </c>
      <c r="F83" s="4">
        <v>6.9336589961637191E-2</v>
      </c>
      <c r="G83" s="4">
        <v>1.4393790753277879E-4</v>
      </c>
      <c r="H83" s="3">
        <v>0.43640711478234528</v>
      </c>
      <c r="I83" s="5">
        <f t="shared" si="38"/>
        <v>7.5838573212331561E-2</v>
      </c>
      <c r="J83" s="5">
        <f t="shared" si="39"/>
        <v>0.25995348307229282</v>
      </c>
      <c r="K83" s="5">
        <f t="shared" si="40"/>
        <v>0.33579205628462439</v>
      </c>
      <c r="L83" s="5">
        <f t="shared" si="41"/>
        <v>6.7158411256924885E-2</v>
      </c>
      <c r="M83" s="8">
        <f t="shared" si="42"/>
        <v>0.60724360709276015</v>
      </c>
      <c r="N83" s="8">
        <f t="shared" si="30"/>
        <v>0.53606724270991468</v>
      </c>
      <c r="O83" s="2">
        <f t="shared" si="31"/>
        <v>0.69229509208869144</v>
      </c>
      <c r="P83" s="2">
        <f t="shared" si="32"/>
        <v>-1.3618835888932674</v>
      </c>
      <c r="Q83" s="2">
        <f t="shared" si="43"/>
        <v>109.90853806185305</v>
      </c>
      <c r="R83" s="9">
        <f t="shared" si="44"/>
        <v>-9.1461938146950875E-2</v>
      </c>
      <c r="S83" s="9">
        <f t="shared" si="45"/>
        <v>109.8170761237061</v>
      </c>
      <c r="T83" s="9">
        <f t="shared" si="33"/>
        <v>127.84165162700583</v>
      </c>
      <c r="U83" s="9">
        <f t="shared" si="48"/>
        <v>-0.13237368701384464</v>
      </c>
      <c r="V83" s="9">
        <f t="shared" si="49"/>
        <v>-6.1738919274004975E-2</v>
      </c>
      <c r="W83" s="9">
        <f t="shared" si="50"/>
        <v>105.6332479043411</v>
      </c>
      <c r="X83" s="9">
        <f t="shared" si="34"/>
        <v>0.1460632984933635</v>
      </c>
      <c r="Y83" s="2">
        <f t="shared" si="35"/>
        <v>20.613504763234495</v>
      </c>
      <c r="Z83" s="2">
        <f t="shared" si="36"/>
        <v>64.759235128915691</v>
      </c>
      <c r="AA83" s="10">
        <f t="shared" si="46"/>
        <v>0.36324905036687793</v>
      </c>
      <c r="AB83" s="2">
        <f t="shared" si="47"/>
        <v>1.6016311865509492</v>
      </c>
    </row>
    <row r="84" spans="1:28" s="2" customFormat="1" ht="14">
      <c r="A84" s="2">
        <v>110</v>
      </c>
      <c r="B84" s="2">
        <v>2700</v>
      </c>
      <c r="C84" s="2">
        <f t="shared" si="37"/>
        <v>3.1415926535897927</v>
      </c>
      <c r="D84" s="4">
        <v>0.15103104180496557</v>
      </c>
      <c r="E84" s="4">
        <v>0.53834947518466802</v>
      </c>
      <c r="F84" s="4">
        <v>0.13030457434891624</v>
      </c>
      <c r="G84" s="4">
        <v>4.6908075031352591E-4</v>
      </c>
      <c r="H84" s="3">
        <v>1.6088316594583032</v>
      </c>
      <c r="I84" s="5">
        <f t="shared" si="38"/>
        <v>0.19128353690836822</v>
      </c>
      <c r="J84" s="5">
        <f t="shared" si="39"/>
        <v>0.68182931452639595</v>
      </c>
      <c r="K84" s="5">
        <f t="shared" si="40"/>
        <v>0.87311285143476414</v>
      </c>
      <c r="L84" s="5">
        <f t="shared" si="41"/>
        <v>0.17462257028695283</v>
      </c>
      <c r="M84" s="8">
        <f t="shared" si="42"/>
        <v>0.70997687694314637</v>
      </c>
      <c r="N84" s="8">
        <f t="shared" si="30"/>
        <v>0.60354903198035315</v>
      </c>
      <c r="O84" s="2">
        <f t="shared" si="31"/>
        <v>0.12993006831563098</v>
      </c>
      <c r="P84" s="2">
        <f t="shared" si="32"/>
        <v>-0.96233349895702358</v>
      </c>
      <c r="Q84" s="2">
        <f t="shared" si="43"/>
        <v>109.83195485093889</v>
      </c>
      <c r="R84" s="9">
        <f t="shared" si="44"/>
        <v>-0.16804514906111209</v>
      </c>
      <c r="S84" s="9">
        <f t="shared" si="45"/>
        <v>109.66390970187777</v>
      </c>
      <c r="T84" s="9">
        <f t="shared" si="33"/>
        <v>133.40024470199984</v>
      </c>
      <c r="U84" s="9">
        <f t="shared" si="48"/>
        <v>1.0842415752847185E-2</v>
      </c>
      <c r="V84" s="9">
        <f t="shared" si="49"/>
        <v>-0.2849241997908038</v>
      </c>
      <c r="W84" s="9">
        <f t="shared" si="50"/>
        <v>106.87341611076921</v>
      </c>
      <c r="X84" s="9">
        <f t="shared" si="34"/>
        <v>0.28513042209800671</v>
      </c>
      <c r="Y84" s="2">
        <f t="shared" si="35"/>
        <v>16.141203376465064</v>
      </c>
      <c r="Z84" s="2">
        <f t="shared" si="36"/>
        <v>50.709085947601402</v>
      </c>
      <c r="AA84" s="10">
        <f t="shared" si="46"/>
        <v>1.0407167475238224</v>
      </c>
      <c r="AB84" s="2">
        <f t="shared" si="47"/>
        <v>4.9266434257095444</v>
      </c>
    </row>
    <row r="85" spans="1:28" s="2" customFormat="1" ht="14">
      <c r="A85" s="2">
        <v>110</v>
      </c>
      <c r="B85" s="2">
        <v>2700</v>
      </c>
      <c r="C85" s="2">
        <f t="shared" si="37"/>
        <v>3.1415926535897927</v>
      </c>
      <c r="D85" s="4">
        <v>7.9021147194725833E-2</v>
      </c>
      <c r="E85" s="4">
        <v>0.3773515686587865</v>
      </c>
      <c r="F85" s="4">
        <v>5.1070342549004548E-2</v>
      </c>
      <c r="G85" s="4">
        <v>4.3924872556863311E-4</v>
      </c>
      <c r="H85" s="3">
        <v>2.0612046062605338</v>
      </c>
      <c r="I85" s="5">
        <f t="shared" si="38"/>
        <v>9.3716833135287669E-2</v>
      </c>
      <c r="J85" s="5">
        <f t="shared" si="39"/>
        <v>0.44752822818668059</v>
      </c>
      <c r="K85" s="5">
        <f t="shared" si="40"/>
        <v>0.54124506132196826</v>
      </c>
      <c r="L85" s="5">
        <f t="shared" si="41"/>
        <v>0.10824901226439365</v>
      </c>
      <c r="M85" s="8">
        <f t="shared" si="42"/>
        <v>0.49658040101174344</v>
      </c>
      <c r="N85" s="8">
        <f t="shared" si="30"/>
        <v>0.44584680238583352</v>
      </c>
      <c r="O85" s="2">
        <f t="shared" si="31"/>
        <v>-0.10575611910887051</v>
      </c>
      <c r="P85" s="2">
        <f t="shared" si="32"/>
        <v>-0.5457173222627788</v>
      </c>
      <c r="Q85" s="2">
        <f t="shared" si="43"/>
        <v>109.94092663888948</v>
      </c>
      <c r="R85" s="9">
        <f t="shared" si="44"/>
        <v>-5.9073361110515608E-2</v>
      </c>
      <c r="S85" s="9">
        <f t="shared" si="45"/>
        <v>109.88185327777896</v>
      </c>
      <c r="T85" s="9">
        <f t="shared" si="33"/>
        <v>121.8525185684737</v>
      </c>
      <c r="U85" s="9">
        <f t="shared" si="48"/>
        <v>3.4424588593778539E-2</v>
      </c>
      <c r="V85" s="9">
        <f t="shared" si="49"/>
        <v>-6.4476062815508398E-2</v>
      </c>
      <c r="W85" s="9">
        <f t="shared" si="50"/>
        <v>72.235162600715341</v>
      </c>
      <c r="X85" s="9">
        <f t="shared" si="34"/>
        <v>7.3090457489608671E-2</v>
      </c>
      <c r="Y85" s="2">
        <f t="shared" si="35"/>
        <v>5.7081054165060818</v>
      </c>
      <c r="Z85" s="2">
        <f t="shared" si="36"/>
        <v>17.932542042411612</v>
      </c>
      <c r="AA85" s="10">
        <f t="shared" si="46"/>
        <v>0.70270867492059219</v>
      </c>
      <c r="AB85" s="2">
        <f t="shared" si="47"/>
        <v>2.6189809252633895</v>
      </c>
    </row>
    <row r="86" spans="1:28" s="2" customFormat="1" ht="14">
      <c r="A86" s="2">
        <v>110</v>
      </c>
      <c r="B86" s="2">
        <v>2700</v>
      </c>
      <c r="C86" s="2">
        <f t="shared" si="37"/>
        <v>3.1415926535897927</v>
      </c>
      <c r="D86" s="4">
        <v>0.15255652002661541</v>
      </c>
      <c r="E86" s="4">
        <v>0.71541823628665158</v>
      </c>
      <c r="F86" s="4">
        <v>0.14316414109935699</v>
      </c>
      <c r="G86" s="4">
        <v>2.7322406600709337E-4</v>
      </c>
      <c r="H86" s="3">
        <v>1.3283396039277566</v>
      </c>
      <c r="I86" s="5">
        <f t="shared" si="38"/>
        <v>0.11254170428342396</v>
      </c>
      <c r="J86" s="5">
        <f t="shared" si="39"/>
        <v>0.52776759441742849</v>
      </c>
      <c r="K86" s="5">
        <f t="shared" si="40"/>
        <v>0.6403092987008524</v>
      </c>
      <c r="L86" s="5">
        <f t="shared" si="41"/>
        <v>0.12806185974017048</v>
      </c>
      <c r="M86" s="8">
        <f t="shared" si="42"/>
        <v>0.85214852410316344</v>
      </c>
      <c r="N86" s="8">
        <f t="shared" si="30"/>
        <v>0.70287690204201925</v>
      </c>
      <c r="O86" s="2">
        <f t="shared" si="31"/>
        <v>0.25450700906619506</v>
      </c>
      <c r="P86" s="2">
        <f t="shared" si="32"/>
        <v>-1.2111623859908276</v>
      </c>
      <c r="Q86" s="2">
        <f t="shared" si="43"/>
        <v>109.84489629240267</v>
      </c>
      <c r="R86" s="9">
        <f t="shared" si="44"/>
        <v>-0.15510370759732758</v>
      </c>
      <c r="S86" s="9">
        <f t="shared" si="45"/>
        <v>109.68979258480533</v>
      </c>
      <c r="T86" s="9">
        <f t="shared" si="33"/>
        <v>143.96718064728339</v>
      </c>
      <c r="U86" s="9">
        <f t="shared" si="48"/>
        <v>-4.0683175959210019E-2</v>
      </c>
      <c r="V86" s="9">
        <f t="shared" si="49"/>
        <v>-0.16449469124919622</v>
      </c>
      <c r="W86" s="9">
        <f t="shared" si="50"/>
        <v>128.97528507995014</v>
      </c>
      <c r="X86" s="9">
        <f t="shared" si="34"/>
        <v>0.1694509494080704</v>
      </c>
      <c r="Y86" s="2">
        <f t="shared" si="35"/>
        <v>19.676020661237846</v>
      </c>
      <c r="Z86" s="2">
        <f t="shared" si="36"/>
        <v>61.81404196122579</v>
      </c>
      <c r="AA86" s="10">
        <f t="shared" si="46"/>
        <v>1.2180673269107749</v>
      </c>
      <c r="AB86" s="2">
        <f t="shared" si="47"/>
        <v>7.9065334991505303</v>
      </c>
    </row>
    <row r="87" spans="1:28" s="2" customFormat="1" ht="14">
      <c r="A87" s="2">
        <v>110</v>
      </c>
      <c r="B87" s="2">
        <v>2700</v>
      </c>
      <c r="C87" s="2">
        <f t="shared" si="37"/>
        <v>3.1415926535897927</v>
      </c>
      <c r="D87" s="4">
        <v>0.15314606512017206</v>
      </c>
      <c r="E87" s="4">
        <v>0.5609292876628913</v>
      </c>
      <c r="F87" s="4">
        <v>0.14892423951575179</v>
      </c>
      <c r="G87" s="4">
        <v>2.1929744275579917E-4</v>
      </c>
      <c r="H87" s="3">
        <v>1.5613816586874742</v>
      </c>
      <c r="I87" s="5">
        <f t="shared" si="38"/>
        <v>9.0678259212210427E-2</v>
      </c>
      <c r="J87" s="5">
        <f t="shared" si="39"/>
        <v>0.33212796754852114</v>
      </c>
      <c r="K87" s="5">
        <f t="shared" si="40"/>
        <v>0.42280622676073154</v>
      </c>
      <c r="L87" s="5">
        <f t="shared" si="41"/>
        <v>8.4561245352146319E-2</v>
      </c>
      <c r="M87" s="8">
        <f t="shared" si="42"/>
        <v>0.73225782963658426</v>
      </c>
      <c r="N87" s="8">
        <f t="shared" si="30"/>
        <v>0.62929976532122955</v>
      </c>
      <c r="O87" s="2">
        <f t="shared" si="31"/>
        <v>0.18224283789345466</v>
      </c>
      <c r="P87" s="2">
        <f t="shared" si="32"/>
        <v>-0.98201024502906387</v>
      </c>
      <c r="Q87" s="2">
        <f t="shared" si="43"/>
        <v>109.91695999073177</v>
      </c>
      <c r="R87" s="9">
        <f t="shared" si="44"/>
        <v>-8.3040009268223997E-2</v>
      </c>
      <c r="S87" s="9">
        <f t="shared" si="45"/>
        <v>109.83391998146354</v>
      </c>
      <c r="T87" s="9">
        <f t="shared" si="33"/>
        <v>135.961828232616</v>
      </c>
      <c r="U87" s="9">
        <f t="shared" si="48"/>
        <v>-1.2903495097010159E-3</v>
      </c>
      <c r="V87" s="9">
        <f t="shared" si="49"/>
        <v>-0.13705330564575119</v>
      </c>
      <c r="W87" s="9">
        <f t="shared" si="50"/>
        <v>110.66547935603407</v>
      </c>
      <c r="X87" s="9">
        <f t="shared" si="34"/>
        <v>0.13705937979680516</v>
      </c>
      <c r="Y87" s="2">
        <f t="shared" si="35"/>
        <v>16.947982708014251</v>
      </c>
      <c r="Z87" s="2">
        <f t="shared" si="36"/>
        <v>53.243657968664415</v>
      </c>
      <c r="AA87" s="10">
        <f t="shared" si="46"/>
        <v>1.3354458965454579</v>
      </c>
      <c r="AB87" s="2">
        <f t="shared" si="47"/>
        <v>12.348574082741818</v>
      </c>
    </row>
    <row r="88" spans="1:28" s="2" customFormat="1" ht="14">
      <c r="A88" s="2">
        <v>110</v>
      </c>
      <c r="B88" s="2">
        <v>2700</v>
      </c>
      <c r="C88" s="2">
        <f t="shared" si="37"/>
        <v>3.1415926535897927</v>
      </c>
      <c r="D88" s="4">
        <v>0.15733446022132314</v>
      </c>
      <c r="E88" s="4">
        <v>0.64269429821126611</v>
      </c>
      <c r="F88" s="4">
        <v>0.10285241027819655</v>
      </c>
      <c r="G88" s="4">
        <v>1.1959781103285515E-4</v>
      </c>
      <c r="H88" s="3">
        <v>0.95964938281082757</v>
      </c>
      <c r="I88" s="5">
        <f t="shared" si="38"/>
        <v>5.0805514014766393E-2</v>
      </c>
      <c r="J88" s="5">
        <f t="shared" si="39"/>
        <v>0.20753504431928405</v>
      </c>
      <c r="K88" s="5">
        <f t="shared" si="40"/>
        <v>0.25834055833405045</v>
      </c>
      <c r="L88" s="5">
        <f t="shared" si="41"/>
        <v>5.1668111666810096E-2</v>
      </c>
      <c r="M88" s="8">
        <f t="shared" si="42"/>
        <v>0.70622439605332588</v>
      </c>
      <c r="N88" s="8">
        <f t="shared" si="30"/>
        <v>0.59732802980941513</v>
      </c>
      <c r="O88" s="2">
        <f t="shared" si="31"/>
        <v>0.43742325750900235</v>
      </c>
      <c r="P88" s="2">
        <f t="shared" si="32"/>
        <v>-1.2275448490339333</v>
      </c>
      <c r="Q88" s="2">
        <f t="shared" si="43"/>
        <v>109.93657507566411</v>
      </c>
      <c r="R88" s="9">
        <f t="shared" si="44"/>
        <v>-6.3424924335902813E-2</v>
      </c>
      <c r="S88" s="9">
        <f t="shared" si="45"/>
        <v>109.8731501513282</v>
      </c>
      <c r="T88" s="9">
        <f t="shared" si="33"/>
        <v>132.95969267044953</v>
      </c>
      <c r="U88" s="9">
        <f t="shared" si="48"/>
        <v>-4.5268950157200255E-2</v>
      </c>
      <c r="V88" s="9">
        <f t="shared" si="49"/>
        <v>-6.4612013860541939E-2</v>
      </c>
      <c r="W88" s="9">
        <f t="shared" si="50"/>
        <v>132.94699772219863</v>
      </c>
      <c r="X88" s="9">
        <f t="shared" si="34"/>
        <v>7.8892269478383903E-2</v>
      </c>
      <c r="Y88" s="2">
        <f t="shared" si="35"/>
        <v>20.917144124667598</v>
      </c>
      <c r="Z88" s="2">
        <f t="shared" si="36"/>
        <v>65.713146316134612</v>
      </c>
      <c r="AA88" s="10">
        <f t="shared" si="46"/>
        <v>0.7124876148273962</v>
      </c>
      <c r="AB88" s="2">
        <f t="shared" si="47"/>
        <v>2.6602129394542939</v>
      </c>
    </row>
    <row r="89" spans="1:28" s="2" customFormat="1" ht="14">
      <c r="A89" s="2">
        <v>110</v>
      </c>
      <c r="B89" s="2">
        <v>2700</v>
      </c>
      <c r="C89" s="2">
        <f t="shared" si="37"/>
        <v>3.1415926535897927</v>
      </c>
      <c r="D89" s="4">
        <v>0.1777565453770365</v>
      </c>
      <c r="E89" s="4">
        <v>0.51295205850892989</v>
      </c>
      <c r="F89" s="4">
        <v>8.9585581508015294E-2</v>
      </c>
      <c r="G89" s="4">
        <v>1.2150797088647308E-4</v>
      </c>
      <c r="H89" s="3">
        <v>2.0556505409117363</v>
      </c>
      <c r="I89" s="5">
        <f t="shared" si="38"/>
        <v>5.8316860279493052E-2</v>
      </c>
      <c r="J89" s="5">
        <f t="shared" si="39"/>
        <v>0.16828496223694062</v>
      </c>
      <c r="K89" s="5">
        <f t="shared" si="40"/>
        <v>0.22660182251643368</v>
      </c>
      <c r="L89" s="5">
        <f t="shared" si="41"/>
        <v>4.5320364503286741E-2</v>
      </c>
      <c r="M89" s="8">
        <f t="shared" si="42"/>
        <v>0.75224283481618892</v>
      </c>
      <c r="N89" s="8">
        <f t="shared" si="30"/>
        <v>0.60028792213449611</v>
      </c>
      <c r="O89" s="2">
        <f t="shared" si="31"/>
        <v>-0.25121492137794027</v>
      </c>
      <c r="P89" s="2">
        <f t="shared" si="32"/>
        <v>-1.0652039372333937</v>
      </c>
      <c r="Q89" s="2">
        <f t="shared" si="43"/>
        <v>109.95172456929424</v>
      </c>
      <c r="R89" s="9">
        <f t="shared" si="44"/>
        <v>-4.8275430705753575E-2</v>
      </c>
      <c r="S89" s="9">
        <f t="shared" si="45"/>
        <v>109.90344913858848</v>
      </c>
      <c r="T89" s="9">
        <f t="shared" si="33"/>
        <v>133.2468749605579</v>
      </c>
      <c r="U89" s="9">
        <f t="shared" si="48"/>
        <v>4.7684734790747467E-2</v>
      </c>
      <c r="V89" s="9">
        <f t="shared" si="49"/>
        <v>-9.0518337714411937E-2</v>
      </c>
      <c r="W89" s="9">
        <f t="shared" si="50"/>
        <v>62.197909772758301</v>
      </c>
      <c r="X89" s="9">
        <f t="shared" si="34"/>
        <v>0.10231032887565289</v>
      </c>
      <c r="Y89" s="2">
        <f t="shared" si="35"/>
        <v>11.056085570878134</v>
      </c>
      <c r="Z89" s="2">
        <f t="shared" si="36"/>
        <v>34.733717206930855</v>
      </c>
      <c r="AA89" s="10">
        <f t="shared" si="46"/>
        <v>0.52819955655348627</v>
      </c>
      <c r="AB89" s="2">
        <f t="shared" si="47"/>
        <v>2.0132384285655962</v>
      </c>
    </row>
    <row r="90" spans="1:28" s="2" customFormat="1" ht="14">
      <c r="A90" s="2">
        <v>110</v>
      </c>
      <c r="B90" s="2">
        <v>2700</v>
      </c>
      <c r="C90" s="2">
        <f t="shared" si="37"/>
        <v>3.1415926535897927</v>
      </c>
      <c r="D90" s="4">
        <v>0.18781477328379448</v>
      </c>
      <c r="E90" s="4">
        <v>0.7367374247208146</v>
      </c>
      <c r="F90" s="4">
        <v>6.221108521272694E-2</v>
      </c>
      <c r="G90" s="4">
        <v>2.8830653736203275E-4</v>
      </c>
      <c r="H90" s="3">
        <v>1.4167157541082458</v>
      </c>
      <c r="I90" s="5">
        <f t="shared" si="38"/>
        <v>0.14620021276739223</v>
      </c>
      <c r="J90" s="5">
        <f t="shared" si="39"/>
        <v>0.57349678283895422</v>
      </c>
      <c r="K90" s="5">
        <f t="shared" si="40"/>
        <v>0.71969699560634648</v>
      </c>
      <c r="L90" s="5">
        <f t="shared" si="41"/>
        <v>0.1439393991212693</v>
      </c>
      <c r="M90" s="8">
        <f t="shared" si="42"/>
        <v>0.90519241894590996</v>
      </c>
      <c r="N90" s="8">
        <f t="shared" si="30"/>
        <v>0.663552983423636</v>
      </c>
      <c r="O90" s="2">
        <f t="shared" si="31"/>
        <v>0.16747470408497789</v>
      </c>
      <c r="P90" s="2">
        <f t="shared" si="32"/>
        <v>-1.3929142981370473</v>
      </c>
      <c r="Q90" s="2">
        <f t="shared" si="43"/>
        <v>109.79950475289874</v>
      </c>
      <c r="R90" s="9">
        <f t="shared" si="44"/>
        <v>-0.20049524710127115</v>
      </c>
      <c r="S90" s="9">
        <f t="shared" si="45"/>
        <v>109.59900950579747</v>
      </c>
      <c r="T90" s="9">
        <f t="shared" si="33"/>
        <v>139.37328064975114</v>
      </c>
      <c r="U90" s="9">
        <f t="shared" si="48"/>
        <v>-4.1591597765876814E-2</v>
      </c>
      <c r="V90" s="9">
        <f t="shared" si="49"/>
        <v>-0.26779453985772683</v>
      </c>
      <c r="W90" s="9">
        <f t="shared" si="50"/>
        <v>121.67314484342715</v>
      </c>
      <c r="X90" s="9">
        <f t="shared" si="34"/>
        <v>0.27100512279720868</v>
      </c>
      <c r="Y90" s="2">
        <f t="shared" si="35"/>
        <v>22.852014113494558</v>
      </c>
      <c r="Z90" s="2">
        <f t="shared" si="36"/>
        <v>71.791719658684769</v>
      </c>
      <c r="AA90" s="10">
        <f t="shared" si="46"/>
        <v>0.33761362428531938</v>
      </c>
      <c r="AB90" s="2">
        <f t="shared" si="47"/>
        <v>1.5475484266820509</v>
      </c>
    </row>
    <row r="91" spans="1:28" s="2" customFormat="1" ht="14">
      <c r="A91" s="2">
        <v>110</v>
      </c>
      <c r="B91" s="2">
        <v>2700</v>
      </c>
      <c r="C91" s="2">
        <f t="shared" si="37"/>
        <v>3.1415926535897927</v>
      </c>
      <c r="D91" s="4">
        <v>0.13108124820218589</v>
      </c>
      <c r="E91" s="4">
        <v>0.50860563098014355</v>
      </c>
      <c r="F91" s="4">
        <v>9.6544952061822509E-2</v>
      </c>
      <c r="G91" s="4">
        <v>3.7081607534172488E-4</v>
      </c>
      <c r="H91" s="3">
        <v>0.39923572346885894</v>
      </c>
      <c r="I91" s="5">
        <f t="shared" si="38"/>
        <v>0.13123899182491858</v>
      </c>
      <c r="J91" s="5">
        <f t="shared" si="39"/>
        <v>0.50921768873724771</v>
      </c>
      <c r="K91" s="5">
        <f t="shared" si="40"/>
        <v>0.64045668056216631</v>
      </c>
      <c r="L91" s="5">
        <f t="shared" si="41"/>
        <v>0.12809133611243326</v>
      </c>
      <c r="M91" s="8">
        <f t="shared" si="42"/>
        <v>0.43465592032062761</v>
      </c>
      <c r="N91" s="8">
        <f t="shared" si="30"/>
        <v>0.44772128772825748</v>
      </c>
      <c r="O91" s="2">
        <f t="shared" si="31"/>
        <v>0.53367038801787925</v>
      </c>
      <c r="P91" s="2">
        <f t="shared" si="32"/>
        <v>-0.94648993020011352</v>
      </c>
      <c r="Q91" s="2">
        <f t="shared" si="43"/>
        <v>109.8787628402237</v>
      </c>
      <c r="R91" s="9">
        <f t="shared" si="44"/>
        <v>-0.12123715977629623</v>
      </c>
      <c r="S91" s="9">
        <f t="shared" si="45"/>
        <v>109.7575256804474</v>
      </c>
      <c r="T91" s="9">
        <f t="shared" si="33"/>
        <v>121.89303731218641</v>
      </c>
      <c r="U91" s="9">
        <f t="shared" si="48"/>
        <v>-0.15643422479110747</v>
      </c>
      <c r="V91" s="9">
        <f t="shared" si="49"/>
        <v>-6.599844424716296E-2</v>
      </c>
      <c r="W91" s="9">
        <f t="shared" si="50"/>
        <v>91.33062646169175</v>
      </c>
      <c r="X91" s="9">
        <f t="shared" si="34"/>
        <v>0.16978651692357855</v>
      </c>
      <c r="Y91" s="2">
        <f t="shared" si="35"/>
        <v>11.971732515686142</v>
      </c>
      <c r="Z91" s="2">
        <f t="shared" si="36"/>
        <v>37.610306922021628</v>
      </c>
      <c r="AA91" s="10">
        <f t="shared" si="46"/>
        <v>0.82792225748988135</v>
      </c>
      <c r="AB91" s="2">
        <f t="shared" si="47"/>
        <v>3.2289706740320923</v>
      </c>
    </row>
    <row r="92" spans="1:28" s="2" customFormat="1" ht="14">
      <c r="A92" s="2">
        <v>110</v>
      </c>
      <c r="B92" s="2">
        <v>2700</v>
      </c>
      <c r="C92" s="2">
        <f t="shared" si="37"/>
        <v>3.1415926535897927</v>
      </c>
      <c r="D92" s="4">
        <v>0.13266253740587935</v>
      </c>
      <c r="E92" s="4">
        <v>0.70127782795631721</v>
      </c>
      <c r="F92" s="4">
        <v>8.1819148799058147E-2</v>
      </c>
      <c r="G92" s="4">
        <v>2.2708203407774364E-4</v>
      </c>
      <c r="H92" s="3">
        <v>0.4115029753644206</v>
      </c>
      <c r="I92" s="5">
        <f t="shared" si="38"/>
        <v>8.1338252868112956E-2</v>
      </c>
      <c r="J92" s="5">
        <f t="shared" si="39"/>
        <v>0.42996850819004467</v>
      </c>
      <c r="K92" s="5">
        <f t="shared" si="40"/>
        <v>0.51130676105815764</v>
      </c>
      <c r="L92" s="5">
        <f t="shared" si="41"/>
        <v>0.10226135221163153</v>
      </c>
      <c r="M92" s="8">
        <f t="shared" si="42"/>
        <v>0.66698270846259367</v>
      </c>
      <c r="N92" s="8">
        <f t="shared" si="30"/>
        <v>0.60786018705459721</v>
      </c>
      <c r="O92" s="2">
        <f t="shared" si="31"/>
        <v>0.44404014674389553</v>
      </c>
      <c r="P92" s="2">
        <f t="shared" si="32"/>
        <v>-0.83972003974703735</v>
      </c>
      <c r="Q92" s="2">
        <f t="shared" si="43"/>
        <v>109.91412909325626</v>
      </c>
      <c r="R92" s="9">
        <f t="shared" si="44"/>
        <v>-8.5870906743737013E-2</v>
      </c>
      <c r="S92" s="9">
        <f t="shared" si="45"/>
        <v>109.82825818651253</v>
      </c>
      <c r="T92" s="9">
        <f t="shared" si="33"/>
        <v>133.89923540048071</v>
      </c>
      <c r="U92" s="9">
        <f t="shared" si="48"/>
        <v>-9.7607942153387403E-2</v>
      </c>
      <c r="V92" s="9">
        <f t="shared" si="49"/>
        <v>-4.2597986648993731E-2</v>
      </c>
      <c r="W92" s="9">
        <f t="shared" si="50"/>
        <v>114.05196098852021</v>
      </c>
      <c r="X92" s="9">
        <f t="shared" si="34"/>
        <v>0.10649835133919618</v>
      </c>
      <c r="Y92" s="2">
        <f t="shared" si="35"/>
        <v>15.130422540853456</v>
      </c>
      <c r="Z92" s="2">
        <f t="shared" si="36"/>
        <v>47.533624300054619</v>
      </c>
      <c r="AA92" s="10">
        <f t="shared" si="46"/>
        <v>0.66460270830901735</v>
      </c>
      <c r="AB92" s="2">
        <f t="shared" si="47"/>
        <v>2.4668006808952683</v>
      </c>
    </row>
    <row r="93" spans="1:28" s="2" customFormat="1" ht="14">
      <c r="A93" s="2">
        <v>110</v>
      </c>
      <c r="B93" s="2">
        <v>2700</v>
      </c>
      <c r="C93" s="2">
        <f t="shared" si="37"/>
        <v>3.1415926535897927</v>
      </c>
      <c r="D93" s="4">
        <v>0.18291619524187341</v>
      </c>
      <c r="E93" s="4">
        <v>0.56628078738164023</v>
      </c>
      <c r="F93" s="4">
        <v>8.3842594354618466E-2</v>
      </c>
      <c r="G93" s="4">
        <v>1.1579268422522993E-4</v>
      </c>
      <c r="H93" s="3">
        <v>1.4543860278759295</v>
      </c>
      <c r="I93" s="5">
        <f t="shared" si="38"/>
        <v>5.7186964535371435E-2</v>
      </c>
      <c r="J93" s="5">
        <f t="shared" si="39"/>
        <v>0.17704216546946147</v>
      </c>
      <c r="K93" s="5">
        <f t="shared" si="40"/>
        <v>0.23422913000483292</v>
      </c>
      <c r="L93" s="5">
        <f t="shared" si="41"/>
        <v>4.6845826000966588E-2</v>
      </c>
      <c r="M93" s="8">
        <f t="shared" si="42"/>
        <v>0.73526491921902359</v>
      </c>
      <c r="N93" s="8">
        <f t="shared" si="30"/>
        <v>0.56748735373729742</v>
      </c>
      <c r="O93" s="2">
        <f t="shared" si="31"/>
        <v>0.19064077521327671</v>
      </c>
      <c r="P93" s="2">
        <f t="shared" si="32"/>
        <v>-1.1866534659842494</v>
      </c>
      <c r="Q93" s="2">
        <f t="shared" si="43"/>
        <v>109.94441023820904</v>
      </c>
      <c r="R93" s="9">
        <f t="shared" si="44"/>
        <v>-5.558976179094207E-2</v>
      </c>
      <c r="S93" s="9">
        <f t="shared" si="45"/>
        <v>109.8888204764181</v>
      </c>
      <c r="T93" s="9">
        <f t="shared" si="33"/>
        <v>130.38109689494939</v>
      </c>
      <c r="U93" s="9">
        <f t="shared" si="48"/>
        <v>-1.1991100159102947E-2</v>
      </c>
      <c r="V93" s="9">
        <f t="shared" si="49"/>
        <v>-0.10254149369444542</v>
      </c>
      <c r="W93" s="9">
        <f t="shared" si="50"/>
        <v>117.34013165583787</v>
      </c>
      <c r="X93" s="9">
        <f t="shared" si="34"/>
        <v>0.10324022671475314</v>
      </c>
      <c r="Y93" s="2">
        <f t="shared" si="35"/>
        <v>21.463410431666372</v>
      </c>
      <c r="Z93" s="2">
        <f t="shared" si="36"/>
        <v>67.429292533105595</v>
      </c>
      <c r="AA93" s="10">
        <f t="shared" si="46"/>
        <v>0.47615599786256274</v>
      </c>
      <c r="AB93" s="2">
        <f t="shared" si="47"/>
        <v>1.8699770788218359</v>
      </c>
    </row>
    <row r="94" spans="1:28" s="2" customFormat="1" ht="14">
      <c r="A94" s="2">
        <v>110</v>
      </c>
      <c r="B94" s="2">
        <v>2700</v>
      </c>
      <c r="C94" s="2">
        <f t="shared" si="37"/>
        <v>3.1415926535897927</v>
      </c>
      <c r="D94" s="4">
        <v>0.18756856096627705</v>
      </c>
      <c r="E94" s="4">
        <v>0.59196331303168814</v>
      </c>
      <c r="F94" s="4">
        <v>8.4249660814257096E-2</v>
      </c>
      <c r="G94" s="4">
        <v>2.8088075606463268E-4</v>
      </c>
      <c r="H94" s="3">
        <v>0.81320233644622542</v>
      </c>
      <c r="I94" s="5">
        <f t="shared" si="38"/>
        <v>0.14224787788904023</v>
      </c>
      <c r="J94" s="5">
        <f t="shared" si="39"/>
        <v>0.44893197790253653</v>
      </c>
      <c r="K94" s="5">
        <f t="shared" si="40"/>
        <v>0.59117985579157672</v>
      </c>
      <c r="L94" s="5">
        <f t="shared" si="41"/>
        <v>0.11823597115831536</v>
      </c>
      <c r="M94" s="8">
        <f t="shared" si="42"/>
        <v>0.61441552454982096</v>
      </c>
      <c r="N94" s="8">
        <f t="shared" si="30"/>
        <v>0.51231214580983409</v>
      </c>
      <c r="O94" s="2">
        <f t="shared" si="31"/>
        <v>0.62144350309344387</v>
      </c>
      <c r="P94" s="2">
        <f t="shared" si="32"/>
        <v>-1.3572892565068466</v>
      </c>
      <c r="Q94" s="2">
        <f t="shared" si="43"/>
        <v>109.83951958661416</v>
      </c>
      <c r="R94" s="9">
        <f t="shared" si="44"/>
        <v>-0.1604804133858348</v>
      </c>
      <c r="S94" s="9">
        <f t="shared" si="45"/>
        <v>109.67903917322832</v>
      </c>
      <c r="T94" s="9">
        <f t="shared" si="33"/>
        <v>126.01861638914677</v>
      </c>
      <c r="U94" s="9">
        <f t="shared" si="48"/>
        <v>-0.18095610888821639</v>
      </c>
      <c r="V94" s="9">
        <f t="shared" si="49"/>
        <v>-0.19130930904932297</v>
      </c>
      <c r="W94" s="9">
        <f t="shared" si="50"/>
        <v>122.24674351208536</v>
      </c>
      <c r="X94" s="9">
        <f t="shared" si="34"/>
        <v>0.26333318262781352</v>
      </c>
      <c r="Y94" s="2">
        <f t="shared" si="35"/>
        <v>22.929645763375415</v>
      </c>
      <c r="Z94" s="2">
        <f t="shared" si="36"/>
        <v>72.035606679636516</v>
      </c>
      <c r="AA94" s="10">
        <f t="shared" si="46"/>
        <v>0.4658330933104341</v>
      </c>
      <c r="AB94" s="2">
        <f t="shared" si="47"/>
        <v>1.8431648749822123</v>
      </c>
    </row>
    <row r="95" spans="1:28" s="2" customFormat="1" ht="14">
      <c r="A95" s="2">
        <v>110</v>
      </c>
      <c r="B95" s="2">
        <v>2700</v>
      </c>
      <c r="C95" s="2">
        <f t="shared" si="37"/>
        <v>3.1415926535897927</v>
      </c>
      <c r="D95" s="4">
        <v>0.18063362011366585</v>
      </c>
      <c r="E95" s="4">
        <v>0.64152922066622342</v>
      </c>
      <c r="F95" s="4">
        <v>0.1194575546923141</v>
      </c>
      <c r="G95" s="4">
        <v>1.8811148537659566E-4</v>
      </c>
      <c r="H95" s="3">
        <v>0.61973919589172166</v>
      </c>
      <c r="I95" s="5">
        <f t="shared" si="38"/>
        <v>9.1743998189040138E-2</v>
      </c>
      <c r="J95" s="5">
        <f t="shared" si="39"/>
        <v>0.32583333945243537</v>
      </c>
      <c r="K95" s="5">
        <f t="shared" si="40"/>
        <v>0.41757733764147553</v>
      </c>
      <c r="L95" s="5">
        <f t="shared" si="41"/>
        <v>8.3515467528295112E-2</v>
      </c>
      <c r="M95" s="8">
        <f t="shared" si="42"/>
        <v>0.63292056030013888</v>
      </c>
      <c r="N95" s="8">
        <f t="shared" si="30"/>
        <v>0.57458895118464881</v>
      </c>
      <c r="O95" s="2">
        <f t="shared" si="31"/>
        <v>0.67349240718010117</v>
      </c>
      <c r="P95" s="2">
        <f t="shared" si="32"/>
        <v>-1.4143768562018697</v>
      </c>
      <c r="Q95" s="2">
        <f t="shared" si="43"/>
        <v>109.88187765559309</v>
      </c>
      <c r="R95" s="9">
        <f t="shared" si="44"/>
        <v>-0.11812234440689938</v>
      </c>
      <c r="S95" s="9">
        <f t="shared" si="45"/>
        <v>109.76375531118619</v>
      </c>
      <c r="T95" s="9">
        <f t="shared" si="33"/>
        <v>130.90280292248192</v>
      </c>
      <c r="U95" s="9">
        <f t="shared" si="48"/>
        <v>-0.13314240144707964</v>
      </c>
      <c r="V95" s="9">
        <f t="shared" si="49"/>
        <v>-9.4999147545379511E-2</v>
      </c>
      <c r="W95" s="9">
        <f t="shared" si="50"/>
        <v>121.73553110212679</v>
      </c>
      <c r="X95" s="9">
        <f t="shared" si="34"/>
        <v>0.16355958271359128</v>
      </c>
      <c r="Y95" s="2">
        <f t="shared" si="35"/>
        <v>21.989529679436924</v>
      </c>
      <c r="Z95" s="2">
        <f t="shared" si="36"/>
        <v>69.082144896813745</v>
      </c>
      <c r="AA95" s="10">
        <f t="shared" si="46"/>
        <v>0.72258401170633835</v>
      </c>
      <c r="AB95" s="2">
        <f t="shared" si="47"/>
        <v>2.7037809964617092</v>
      </c>
    </row>
    <row r="96" spans="1:28" s="2" customFormat="1" ht="14">
      <c r="A96" s="2">
        <v>110</v>
      </c>
      <c r="B96" s="2">
        <v>2700</v>
      </c>
      <c r="C96" s="2">
        <f t="shared" si="37"/>
        <v>3.1415926535897927</v>
      </c>
      <c r="D96" s="4">
        <v>0.11595025123442039</v>
      </c>
      <c r="E96" s="4">
        <v>0.52610346219644022</v>
      </c>
      <c r="F96" s="4">
        <v>9.0487591779375182E-2</v>
      </c>
      <c r="G96" s="4">
        <v>1.139860828578561E-4</v>
      </c>
      <c r="H96" s="3">
        <v>1.5404840427041906</v>
      </c>
      <c r="I96" s="5">
        <f t="shared" si="38"/>
        <v>3.5685130350408857E-2</v>
      </c>
      <c r="J96" s="5">
        <f t="shared" si="39"/>
        <v>0.16191487665106669</v>
      </c>
      <c r="K96" s="5">
        <f t="shared" si="40"/>
        <v>0.19760000700147554</v>
      </c>
      <c r="L96" s="5">
        <f t="shared" si="41"/>
        <v>3.9520001400295109E-2</v>
      </c>
      <c r="M96" s="8">
        <f t="shared" si="42"/>
        <v>0.64642377911266835</v>
      </c>
      <c r="N96" s="8">
        <f t="shared" si="30"/>
        <v>0.55572811995019833</v>
      </c>
      <c r="O96" s="2">
        <f t="shared" si="31"/>
        <v>9.0359439723897747E-2</v>
      </c>
      <c r="P96" s="2">
        <f t="shared" si="32"/>
        <v>-0.86360456033596578</v>
      </c>
      <c r="Q96" s="2">
        <f t="shared" si="43"/>
        <v>109.96587034656623</v>
      </c>
      <c r="R96" s="9">
        <f t="shared" si="44"/>
        <v>-3.4129653433778606E-2</v>
      </c>
      <c r="S96" s="9">
        <f t="shared" si="45"/>
        <v>109.93174069313245</v>
      </c>
      <c r="T96" s="9">
        <f t="shared" si="33"/>
        <v>129.44523802224248</v>
      </c>
      <c r="U96" s="9">
        <f t="shared" si="48"/>
        <v>-1.2376871440116992E-3</v>
      </c>
      <c r="V96" s="9">
        <f t="shared" si="49"/>
        <v>-4.081870044862522E-2</v>
      </c>
      <c r="W96" s="9">
        <f t="shared" si="50"/>
        <v>111.985074626485</v>
      </c>
      <c r="X96" s="9">
        <f t="shared" si="34"/>
        <v>4.083746044725417E-2</v>
      </c>
      <c r="Y96" s="2">
        <f t="shared" si="35"/>
        <v>12.984697537446252</v>
      </c>
      <c r="Z96" s="2">
        <f t="shared" si="36"/>
        <v>40.792630392726615</v>
      </c>
      <c r="AA96" s="10">
        <f t="shared" si="46"/>
        <v>0.89530549165805595</v>
      </c>
      <c r="AB96" s="2">
        <f t="shared" si="47"/>
        <v>3.6508294268024688</v>
      </c>
    </row>
    <row r="97" spans="1:28" s="2" customFormat="1" ht="14">
      <c r="A97" s="2">
        <v>110</v>
      </c>
      <c r="B97" s="2">
        <v>2700</v>
      </c>
      <c r="C97" s="2">
        <f t="shared" si="37"/>
        <v>3.1415926535897927</v>
      </c>
      <c r="D97" s="4">
        <v>7.9228465950827956E-2</v>
      </c>
      <c r="E97" s="4">
        <v>0.41755844084852678</v>
      </c>
      <c r="F97" s="4">
        <v>5.8111045645891306E-2</v>
      </c>
      <c r="G97" s="4">
        <v>4.7576189111350037E-4</v>
      </c>
      <c r="H97" s="3">
        <v>1.4525780036592399</v>
      </c>
      <c r="I97" s="5">
        <f t="shared" si="38"/>
        <v>0.10177348893512621</v>
      </c>
      <c r="J97" s="5">
        <f t="shared" si="39"/>
        <v>0.53637766236494944</v>
      </c>
      <c r="K97" s="5">
        <f t="shared" si="40"/>
        <v>0.6381511513000756</v>
      </c>
      <c r="L97" s="5">
        <f t="shared" si="41"/>
        <v>0.12763023026001513</v>
      </c>
      <c r="M97" s="8">
        <f t="shared" si="42"/>
        <v>0.48902592663568467</v>
      </c>
      <c r="N97" s="8">
        <f t="shared" si="30"/>
        <v>0.43809999981368236</v>
      </c>
      <c r="O97" s="2">
        <f t="shared" si="31"/>
        <v>7.84913584119908E-2</v>
      </c>
      <c r="P97" s="2">
        <f t="shared" si="32"/>
        <v>-0.61495211859054688</v>
      </c>
      <c r="Q97" s="2">
        <f t="shared" si="43"/>
        <v>109.92151351950541</v>
      </c>
      <c r="R97" s="9">
        <f t="shared" si="44"/>
        <v>-7.8486480494595626E-2</v>
      </c>
      <c r="S97" s="9">
        <f t="shared" si="45"/>
        <v>109.84302703901082</v>
      </c>
      <c r="T97" s="9">
        <f t="shared" si="33"/>
        <v>121.38521655377185</v>
      </c>
      <c r="U97" s="9">
        <f t="shared" si="48"/>
        <v>-9.3861695063752453E-3</v>
      </c>
      <c r="V97" s="9">
        <f t="shared" si="49"/>
        <v>-7.9026692048703592E-2</v>
      </c>
      <c r="W97" s="9">
        <f t="shared" si="50"/>
        <v>115.22766400363969</v>
      </c>
      <c r="X97" s="9">
        <f t="shared" si="34"/>
        <v>7.9582147710168263E-2</v>
      </c>
      <c r="Y97" s="2">
        <f t="shared" si="35"/>
        <v>9.1293110541058109</v>
      </c>
      <c r="Z97" s="2">
        <f t="shared" si="36"/>
        <v>28.680576539914902</v>
      </c>
      <c r="AA97" s="10">
        <f t="shared" si="46"/>
        <v>0.82340081313085867</v>
      </c>
      <c r="AB97" s="2">
        <f t="shared" si="47"/>
        <v>3.2033870904421455</v>
      </c>
    </row>
    <row r="98" spans="1:28" s="2" customFormat="1" ht="14">
      <c r="A98" s="2">
        <v>110</v>
      </c>
      <c r="B98" s="2">
        <v>2700</v>
      </c>
      <c r="C98" s="2">
        <f t="shared" si="37"/>
        <v>3.1415926535897927</v>
      </c>
      <c r="D98" s="4">
        <v>0.19234282328230784</v>
      </c>
      <c r="E98" s="4">
        <v>0.73799130860215767</v>
      </c>
      <c r="F98" s="4">
        <v>9.9401074622469027E-2</v>
      </c>
      <c r="G98" s="4">
        <v>4.766728064290477E-4</v>
      </c>
      <c r="H98" s="3">
        <v>1.2515736994430331</v>
      </c>
      <c r="I98" s="5">
        <f t="shared" si="38"/>
        <v>0.24754840210025295</v>
      </c>
      <c r="J98" s="5">
        <f t="shared" si="39"/>
        <v>0.9498070481174169</v>
      </c>
      <c r="K98" s="5">
        <f t="shared" si="40"/>
        <v>1.1973554502176698</v>
      </c>
      <c r="L98" s="5">
        <f t="shared" si="41"/>
        <v>0.23947109004353395</v>
      </c>
      <c r="M98" s="8">
        <f t="shared" si="42"/>
        <v>0.88558297733889635</v>
      </c>
      <c r="N98" s="8">
        <f t="shared" si="30"/>
        <v>0.67617736929958172</v>
      </c>
      <c r="O98" s="2">
        <f t="shared" si="31"/>
        <v>0.33002581514297613</v>
      </c>
      <c r="P98" s="2">
        <f t="shared" si="32"/>
        <v>-1.4476431958408027</v>
      </c>
      <c r="Q98" s="2">
        <f t="shared" si="43"/>
        <v>109.65333130589789</v>
      </c>
      <c r="R98" s="9">
        <f t="shared" si="44"/>
        <v>-0.3466686941021021</v>
      </c>
      <c r="S98" s="9">
        <f t="shared" si="45"/>
        <v>109.30666261179579</v>
      </c>
      <c r="T98" s="9">
        <f t="shared" si="33"/>
        <v>140.5864794425448</v>
      </c>
      <c r="U98" s="9">
        <f t="shared" si="48"/>
        <v>-0.14747836620324109</v>
      </c>
      <c r="V98" s="9">
        <f t="shared" si="49"/>
        <v>-0.44619174167515374</v>
      </c>
      <c r="W98" s="9">
        <f t="shared" si="50"/>
        <v>131.72464563311544</v>
      </c>
      <c r="X98" s="9">
        <f t="shared" si="34"/>
        <v>0.46993290886794087</v>
      </c>
      <c r="Y98" s="2">
        <f t="shared" si="35"/>
        <v>25.336290236934946</v>
      </c>
      <c r="Z98" s="2">
        <f t="shared" si="36"/>
        <v>79.596303277573611</v>
      </c>
      <c r="AA98" s="10">
        <f t="shared" si="46"/>
        <v>0.54309855881664704</v>
      </c>
      <c r="AB98" s="2">
        <f t="shared" si="47"/>
        <v>2.0569227174348428</v>
      </c>
    </row>
    <row r="99" spans="1:28" s="2" customFormat="1" ht="14">
      <c r="A99" s="2">
        <v>110</v>
      </c>
      <c r="B99" s="2">
        <v>2700</v>
      </c>
      <c r="C99" s="2">
        <f t="shared" si="37"/>
        <v>3.1415926535897927</v>
      </c>
      <c r="D99" s="4">
        <v>9.1618672009342789E-2</v>
      </c>
      <c r="E99" s="4">
        <v>0.27497160950402533</v>
      </c>
      <c r="F99" s="4">
        <v>6.8725358829951649E-2</v>
      </c>
      <c r="G99" s="4">
        <v>3.7880628985638014E-4</v>
      </c>
      <c r="H99" s="3">
        <v>1.5095791287585105</v>
      </c>
      <c r="I99" s="5">
        <f t="shared" si="38"/>
        <v>9.370546890865486E-2</v>
      </c>
      <c r="J99" s="5">
        <f t="shared" si="39"/>
        <v>0.28123463307255442</v>
      </c>
      <c r="K99" s="5">
        <f t="shared" si="40"/>
        <v>0.37494010198120931</v>
      </c>
      <c r="L99" s="5">
        <f t="shared" si="41"/>
        <v>7.4988020396241861E-2</v>
      </c>
      <c r="M99" s="8">
        <f t="shared" si="42"/>
        <v>0.36481022730791002</v>
      </c>
      <c r="N99" s="8">
        <f t="shared" si="30"/>
        <v>0.32960943014397653</v>
      </c>
      <c r="O99" s="2">
        <f t="shared" si="31"/>
        <v>0.28164366437943311</v>
      </c>
      <c r="P99" s="2">
        <f t="shared" si="32"/>
        <v>5.6025356077666233E-2</v>
      </c>
      <c r="Q99" s="2">
        <f t="shared" si="43"/>
        <v>110.00420123054425</v>
      </c>
      <c r="R99" s="9">
        <f t="shared" si="44"/>
        <v>4.2012305442587486E-3</v>
      </c>
      <c r="S99" s="9">
        <f t="shared" si="45"/>
        <v>110.00840246108851</v>
      </c>
      <c r="T99" s="9">
        <f t="shared" si="33"/>
        <v>116.26276137650044</v>
      </c>
      <c r="U99" s="9">
        <f t="shared" si="48"/>
        <v>-5.183830988600307E-3</v>
      </c>
      <c r="V99" s="9">
        <f t="shared" si="49"/>
        <v>-8.4573518374764567E-2</v>
      </c>
      <c r="W99" s="9">
        <f t="shared" si="50"/>
        <v>112.1003792864805</v>
      </c>
      <c r="X99" s="9">
        <f t="shared" si="34"/>
        <v>8.4732237749306563E-2</v>
      </c>
      <c r="Y99" s="2">
        <f t="shared" si="35"/>
        <v>10.270487881970981</v>
      </c>
      <c r="Z99" s="2">
        <f t="shared" si="36"/>
        <v>32.265689278783022</v>
      </c>
      <c r="AA99" s="10">
        <f t="shared" si="46"/>
        <v>0.84824947203619949</v>
      </c>
      <c r="AB99" s="2">
        <f t="shared" si="47"/>
        <v>3.3479431581484977</v>
      </c>
    </row>
    <row r="100" spans="1:28" s="2" customFormat="1" ht="14">
      <c r="A100" s="2">
        <v>110</v>
      </c>
      <c r="B100" s="2">
        <v>2700</v>
      </c>
      <c r="C100" s="2">
        <f t="shared" si="37"/>
        <v>3.1415926535897927</v>
      </c>
      <c r="D100" s="4">
        <v>0.14590952774841662</v>
      </c>
      <c r="E100" s="4">
        <v>0.64807060050269816</v>
      </c>
      <c r="F100" s="4">
        <v>0.13870030399520122</v>
      </c>
      <c r="G100" s="4">
        <v>1.2526392717187478E-4</v>
      </c>
      <c r="H100" s="3">
        <v>0.16990092034183846</v>
      </c>
      <c r="I100" s="5">
        <f t="shared" si="38"/>
        <v>4.9348441235412814E-2</v>
      </c>
      <c r="J100" s="5">
        <f t="shared" si="39"/>
        <v>0.2191856449597285</v>
      </c>
      <c r="K100" s="5">
        <f t="shared" si="40"/>
        <v>0.2685340861951413</v>
      </c>
      <c r="L100" s="5">
        <f t="shared" si="41"/>
        <v>5.3706817239028259E-2</v>
      </c>
      <c r="M100" s="8">
        <f t="shared" si="42"/>
        <v>0.56820085085400363</v>
      </c>
      <c r="N100" s="8">
        <f t="shared" si="30"/>
        <v>0.59870002702942504</v>
      </c>
      <c r="O100" s="2">
        <f t="shared" si="31"/>
        <v>0.51040121041467224</v>
      </c>
      <c r="P100" s="2">
        <f t="shared" si="32"/>
        <v>-0.9145845878905734</v>
      </c>
      <c r="Q100" s="2">
        <f t="shared" si="43"/>
        <v>109.95088057268853</v>
      </c>
      <c r="R100" s="9">
        <f t="shared" si="44"/>
        <v>-4.9119427311471002E-2</v>
      </c>
      <c r="S100" s="9">
        <f t="shared" si="45"/>
        <v>109.90176114537707</v>
      </c>
      <c r="T100" s="9">
        <f t="shared" si="33"/>
        <v>133.10133768634074</v>
      </c>
      <c r="U100" s="9">
        <f t="shared" si="48"/>
        <v>-7.0041945886638021E-2</v>
      </c>
      <c r="V100" s="9">
        <f t="shared" si="49"/>
        <v>-1.2016033752346209E-2</v>
      </c>
      <c r="W100" s="9">
        <f t="shared" si="50"/>
        <v>92.522754542265574</v>
      </c>
      <c r="X100" s="9">
        <f t="shared" si="34"/>
        <v>7.1065176076079997E-2</v>
      </c>
      <c r="Y100" s="2">
        <f t="shared" si="35"/>
        <v>13.499951421244639</v>
      </c>
      <c r="Z100" s="2">
        <f t="shared" si="36"/>
        <v>42.411348208801236</v>
      </c>
      <c r="AA100" s="10">
        <f t="shared" si="46"/>
        <v>1.2551345384086015</v>
      </c>
      <c r="AB100" s="2">
        <f t="shared" si="47"/>
        <v>8.9524008580513676</v>
      </c>
    </row>
    <row r="101" spans="1:28" s="2" customFormat="1" ht="14">
      <c r="A101" s="2">
        <v>110</v>
      </c>
      <c r="B101" s="2">
        <v>2700</v>
      </c>
      <c r="C101" s="2">
        <f t="shared" si="37"/>
        <v>3.1415926535897927</v>
      </c>
      <c r="D101" s="4">
        <v>0.19408776404326772</v>
      </c>
      <c r="E101" s="4">
        <v>0.43614429074319794</v>
      </c>
      <c r="F101" s="4">
        <v>0.1433177575266357</v>
      </c>
      <c r="G101" s="4">
        <v>3.1367768913335476E-4</v>
      </c>
      <c r="H101" s="3">
        <v>1.6608093397921733</v>
      </c>
      <c r="I101" s="5">
        <f t="shared" si="38"/>
        <v>0.16437870354821052</v>
      </c>
      <c r="J101" s="5">
        <f t="shared" si="39"/>
        <v>0.36938357977238728</v>
      </c>
      <c r="K101" s="5">
        <f t="shared" si="40"/>
        <v>0.53376228332059783</v>
      </c>
      <c r="L101" s="5">
        <f t="shared" si="41"/>
        <v>0.10675245666411957</v>
      </c>
      <c r="M101" s="8">
        <f t="shared" si="42"/>
        <v>0.67101391689913292</v>
      </c>
      <c r="N101" s="8">
        <f t="shared" si="30"/>
        <v>0.55573914515232015</v>
      </c>
      <c r="O101" s="2">
        <f t="shared" si="31"/>
        <v>0.30418642619145575</v>
      </c>
      <c r="P101" s="2">
        <f t="shared" si="32"/>
        <v>-0.42182354821194379</v>
      </c>
      <c r="Q101" s="2">
        <f t="shared" si="43"/>
        <v>109.9549692999496</v>
      </c>
      <c r="R101" s="9">
        <f t="shared" si="44"/>
        <v>-4.5030700050400684E-2</v>
      </c>
      <c r="S101" s="9">
        <f t="shared" si="45"/>
        <v>109.90993859989919</v>
      </c>
      <c r="T101" s="9">
        <f t="shared" si="33"/>
        <v>129.43329217581106</v>
      </c>
      <c r="U101" s="9">
        <f t="shared" si="48"/>
        <v>2.8304932695789348E-2</v>
      </c>
      <c r="V101" s="9">
        <f t="shared" si="49"/>
        <v>-0.31360405581015427</v>
      </c>
      <c r="W101" s="9">
        <f t="shared" si="50"/>
        <v>103.3715551040233</v>
      </c>
      <c r="X101" s="9">
        <f t="shared" si="34"/>
        <v>0.31487882278027451</v>
      </c>
      <c r="Y101" s="2">
        <f t="shared" si="35"/>
        <v>20.06315399581532</v>
      </c>
      <c r="Z101" s="2">
        <f t="shared" si="36"/>
        <v>63.030257201094102</v>
      </c>
      <c r="AA101" s="10">
        <f t="shared" si="46"/>
        <v>0.83072027147015515</v>
      </c>
      <c r="AB101" s="2">
        <f t="shared" si="47"/>
        <v>3.2449591916756164</v>
      </c>
    </row>
    <row r="103" spans="1:28">
      <c r="Z103" s="2"/>
    </row>
    <row r="111" spans="1:28">
      <c r="D111" s="4"/>
      <c r="E111" s="4"/>
      <c r="F111" s="4"/>
      <c r="G111" s="4"/>
    </row>
  </sheetData>
  <sortState xmlns:xlrd2="http://schemas.microsoft.com/office/spreadsheetml/2017/richdata2" ref="C2:D101">
    <sortCondition ref="D2:D101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5F16D-1ED6-EF4C-9EFB-F3F95EEB1154}">
  <dimension ref="B83:C366"/>
  <sheetViews>
    <sheetView topLeftCell="A55" zoomScale="91" workbookViewId="0">
      <selection activeCell="H83" sqref="H83"/>
    </sheetView>
  </sheetViews>
  <sheetFormatPr baseColWidth="10" defaultRowHeight="16"/>
  <cols>
    <col min="10" max="10" width="16" customWidth="1"/>
  </cols>
  <sheetData>
    <row r="83" spans="2:3">
      <c r="B83" s="1"/>
      <c r="C83" s="1"/>
    </row>
    <row r="84" spans="2:3">
      <c r="B84" s="1"/>
      <c r="C84" s="1"/>
    </row>
    <row r="85" spans="2:3">
      <c r="B85" s="1"/>
      <c r="C85" s="1"/>
    </row>
    <row r="86" spans="2:3">
      <c r="B86" s="1"/>
      <c r="C86" s="1"/>
    </row>
    <row r="87" spans="2:3">
      <c r="B87" s="1"/>
      <c r="C87" s="1"/>
    </row>
    <row r="88" spans="2:3">
      <c r="B88" s="1"/>
      <c r="C88" s="1"/>
    </row>
    <row r="89" spans="2:3">
      <c r="B89" s="1"/>
      <c r="C89" s="1"/>
    </row>
    <row r="90" spans="2:3">
      <c r="B90" s="1"/>
      <c r="C90" s="1"/>
    </row>
    <row r="91" spans="2:3">
      <c r="B91" s="1"/>
      <c r="C91" s="1"/>
    </row>
    <row r="92" spans="2:3">
      <c r="B92" s="1"/>
      <c r="C92" s="1"/>
    </row>
    <row r="93" spans="2:3">
      <c r="B93" s="1"/>
      <c r="C93" s="1"/>
    </row>
    <row r="94" spans="2:3">
      <c r="B94" s="1"/>
      <c r="C94" s="1"/>
    </row>
    <row r="95" spans="2:3">
      <c r="B95" s="1"/>
      <c r="C95" s="1"/>
    </row>
    <row r="96" spans="2:3">
      <c r="B96" s="1"/>
      <c r="C96" s="1"/>
    </row>
    <row r="97" spans="2:3">
      <c r="B97" s="1"/>
      <c r="C97" s="1"/>
    </row>
    <row r="98" spans="2:3">
      <c r="B98" s="1"/>
      <c r="C98" s="1"/>
    </row>
    <row r="99" spans="2:3">
      <c r="B99" s="1"/>
      <c r="C99" s="1"/>
    </row>
    <row r="100" spans="2:3">
      <c r="B100" s="1"/>
      <c r="C100" s="1"/>
    </row>
    <row r="101" spans="2:3">
      <c r="B101" s="1"/>
      <c r="C101" s="1"/>
    </row>
    <row r="102" spans="2:3">
      <c r="B102" s="1"/>
      <c r="C102" s="1"/>
    </row>
    <row r="103" spans="2:3">
      <c r="B103" s="1"/>
      <c r="C103" s="1"/>
    </row>
    <row r="104" spans="2:3">
      <c r="B104" s="1"/>
      <c r="C104" s="1"/>
    </row>
    <row r="105" spans="2:3">
      <c r="B105" s="1"/>
      <c r="C105" s="1"/>
    </row>
    <row r="106" spans="2:3">
      <c r="B106" s="1"/>
      <c r="C106" s="1"/>
    </row>
    <row r="107" spans="2:3">
      <c r="B107" s="1"/>
      <c r="C107" s="1"/>
    </row>
    <row r="108" spans="2:3">
      <c r="B108" s="1"/>
      <c r="C108" s="1"/>
    </row>
    <row r="109" spans="2:3">
      <c r="B109" s="1"/>
      <c r="C109" s="1"/>
    </row>
    <row r="110" spans="2:3">
      <c r="B110" s="1"/>
      <c r="C110" s="1"/>
    </row>
    <row r="111" spans="2:3">
      <c r="B111" s="1"/>
      <c r="C111" s="1"/>
    </row>
    <row r="112" spans="2:3">
      <c r="B112" s="1"/>
      <c r="C112" s="1"/>
    </row>
    <row r="113" spans="2:3">
      <c r="B113" s="1"/>
      <c r="C113" s="1"/>
    </row>
    <row r="114" spans="2:3">
      <c r="B114" s="1"/>
      <c r="C114" s="1"/>
    </row>
    <row r="115" spans="2:3">
      <c r="B115" s="1"/>
      <c r="C115" s="1"/>
    </row>
    <row r="116" spans="2:3">
      <c r="B116" s="1"/>
      <c r="C116" s="1"/>
    </row>
    <row r="117" spans="2:3">
      <c r="B117" s="1"/>
      <c r="C117" s="1"/>
    </row>
    <row r="118" spans="2:3">
      <c r="B118" s="1"/>
      <c r="C118" s="1"/>
    </row>
    <row r="119" spans="2:3">
      <c r="B119" s="1"/>
      <c r="C119" s="1"/>
    </row>
    <row r="120" spans="2:3">
      <c r="B120" s="1"/>
      <c r="C120" s="1"/>
    </row>
    <row r="121" spans="2:3">
      <c r="B121" s="1"/>
      <c r="C121" s="1"/>
    </row>
    <row r="122" spans="2:3">
      <c r="B122" s="1"/>
      <c r="C122" s="1"/>
    </row>
    <row r="123" spans="2:3">
      <c r="B123" s="1"/>
      <c r="C123" s="1"/>
    </row>
    <row r="124" spans="2:3">
      <c r="B124" s="1"/>
      <c r="C124" s="1"/>
    </row>
    <row r="125" spans="2:3">
      <c r="B125" s="1"/>
      <c r="C125" s="1"/>
    </row>
    <row r="126" spans="2:3">
      <c r="B126" s="1"/>
      <c r="C126" s="1"/>
    </row>
    <row r="127" spans="2:3">
      <c r="B127" s="1"/>
      <c r="C127" s="1"/>
    </row>
    <row r="128" spans="2:3">
      <c r="B128" s="1"/>
      <c r="C128" s="1"/>
    </row>
    <row r="129" spans="2:3">
      <c r="B129" s="1"/>
      <c r="C129" s="1"/>
    </row>
    <row r="130" spans="2:3">
      <c r="B130" s="1"/>
      <c r="C130" s="1"/>
    </row>
    <row r="131" spans="2:3">
      <c r="B131" s="1"/>
      <c r="C131" s="1"/>
    </row>
    <row r="132" spans="2:3">
      <c r="B132" s="1"/>
      <c r="C132" s="1"/>
    </row>
    <row r="133" spans="2:3">
      <c r="B133" s="1"/>
      <c r="C133" s="1"/>
    </row>
    <row r="134" spans="2:3">
      <c r="B134" s="1"/>
      <c r="C134" s="1"/>
    </row>
    <row r="135" spans="2:3">
      <c r="B135" s="1"/>
      <c r="C135" s="1"/>
    </row>
    <row r="136" spans="2:3">
      <c r="B136" s="1"/>
      <c r="C136" s="1"/>
    </row>
    <row r="137" spans="2:3">
      <c r="B137" s="1"/>
      <c r="C137" s="1"/>
    </row>
    <row r="138" spans="2:3">
      <c r="B138" s="1"/>
      <c r="C138" s="1"/>
    </row>
    <row r="139" spans="2:3">
      <c r="B139" s="1"/>
      <c r="C139" s="1"/>
    </row>
    <row r="140" spans="2:3">
      <c r="B140" s="1"/>
      <c r="C140" s="1"/>
    </row>
    <row r="141" spans="2:3">
      <c r="B141" s="1"/>
      <c r="C141" s="1"/>
    </row>
    <row r="142" spans="2:3">
      <c r="B142" s="1"/>
      <c r="C142" s="1"/>
    </row>
    <row r="143" spans="2:3">
      <c r="B143" s="1"/>
      <c r="C143" s="1"/>
    </row>
    <row r="144" spans="2:3">
      <c r="B144" s="1"/>
      <c r="C144" s="1"/>
    </row>
    <row r="145" spans="2:3">
      <c r="B145" s="1"/>
      <c r="C145" s="1"/>
    </row>
    <row r="146" spans="2:3">
      <c r="B146" s="1"/>
      <c r="C146" s="1"/>
    </row>
    <row r="147" spans="2:3">
      <c r="B147" s="1"/>
      <c r="C147" s="1"/>
    </row>
    <row r="148" spans="2:3">
      <c r="B148" s="1"/>
      <c r="C148" s="1"/>
    </row>
    <row r="149" spans="2:3">
      <c r="B149" s="1"/>
      <c r="C149" s="1"/>
    </row>
    <row r="150" spans="2:3">
      <c r="B150" s="1"/>
      <c r="C150" s="1"/>
    </row>
    <row r="151" spans="2:3">
      <c r="B151" s="1"/>
      <c r="C151" s="1"/>
    </row>
    <row r="152" spans="2:3">
      <c r="B152" s="1"/>
      <c r="C152" s="1"/>
    </row>
    <row r="153" spans="2:3">
      <c r="B153" s="1"/>
      <c r="C153" s="1"/>
    </row>
    <row r="154" spans="2:3">
      <c r="B154" s="1"/>
      <c r="C154" s="1"/>
    </row>
    <row r="155" spans="2:3">
      <c r="B155" s="1"/>
      <c r="C155" s="1"/>
    </row>
    <row r="156" spans="2:3">
      <c r="B156" s="1"/>
      <c r="C156" s="1"/>
    </row>
    <row r="157" spans="2:3">
      <c r="B157" s="1"/>
      <c r="C157" s="1"/>
    </row>
    <row r="158" spans="2:3">
      <c r="B158" s="1"/>
      <c r="C158" s="1"/>
    </row>
    <row r="159" spans="2:3">
      <c r="B159" s="1"/>
      <c r="C159" s="1"/>
    </row>
    <row r="160" spans="2:3">
      <c r="B160" s="1"/>
      <c r="C160" s="1"/>
    </row>
    <row r="161" spans="2:3">
      <c r="B161" s="1"/>
      <c r="C161" s="1"/>
    </row>
    <row r="162" spans="2:3">
      <c r="B162" s="1"/>
      <c r="C162" s="1"/>
    </row>
    <row r="163" spans="2:3">
      <c r="B163" s="1"/>
      <c r="C163" s="1"/>
    </row>
    <row r="164" spans="2:3">
      <c r="B164" s="1"/>
      <c r="C164" s="1"/>
    </row>
    <row r="165" spans="2:3">
      <c r="B165" s="1"/>
      <c r="C165" s="1"/>
    </row>
    <row r="166" spans="2:3">
      <c r="B166" s="1"/>
      <c r="C166" s="1"/>
    </row>
    <row r="167" spans="2:3">
      <c r="B167" s="1"/>
      <c r="C167" s="1"/>
    </row>
    <row r="168" spans="2:3">
      <c r="B168" s="1"/>
      <c r="C168" s="1"/>
    </row>
    <row r="169" spans="2:3">
      <c r="B169" s="1"/>
      <c r="C169" s="1"/>
    </row>
    <row r="170" spans="2:3">
      <c r="B170" s="1"/>
      <c r="C170" s="1"/>
    </row>
    <row r="171" spans="2:3">
      <c r="B171" s="1"/>
      <c r="C171" s="1"/>
    </row>
    <row r="172" spans="2:3">
      <c r="B172" s="1"/>
      <c r="C172" s="1"/>
    </row>
    <row r="173" spans="2:3">
      <c r="B173" s="1"/>
      <c r="C173" s="1"/>
    </row>
    <row r="174" spans="2:3">
      <c r="B174" s="1"/>
      <c r="C174" s="1"/>
    </row>
    <row r="175" spans="2:3">
      <c r="B175" s="1"/>
      <c r="C175" s="1"/>
    </row>
    <row r="176" spans="2:3">
      <c r="B176" s="1"/>
      <c r="C176" s="1"/>
    </row>
    <row r="177" spans="2:3">
      <c r="B177" s="1"/>
      <c r="C177" s="1"/>
    </row>
    <row r="178" spans="2:3">
      <c r="B178" s="1"/>
      <c r="C178" s="1"/>
    </row>
    <row r="179" spans="2:3">
      <c r="B179" s="1"/>
      <c r="C179" s="1"/>
    </row>
    <row r="180" spans="2:3">
      <c r="B180" s="1"/>
      <c r="C180" s="1"/>
    </row>
    <row r="181" spans="2:3">
      <c r="B181" s="1"/>
      <c r="C181" s="1"/>
    </row>
    <row r="182" spans="2:3">
      <c r="B182" s="1"/>
      <c r="C182" s="1"/>
    </row>
    <row r="183" spans="2:3">
      <c r="B183" s="1"/>
      <c r="C183" s="1"/>
    </row>
    <row r="184" spans="2:3">
      <c r="B184" s="1"/>
      <c r="C184" s="1"/>
    </row>
    <row r="185" spans="2:3">
      <c r="B185" s="1"/>
      <c r="C185" s="1"/>
    </row>
    <row r="186" spans="2:3">
      <c r="B186" s="1"/>
      <c r="C186" s="1"/>
    </row>
    <row r="187" spans="2:3">
      <c r="B187" s="1"/>
      <c r="C187" s="1"/>
    </row>
    <row r="188" spans="2:3">
      <c r="B188" s="1"/>
      <c r="C188" s="1"/>
    </row>
    <row r="189" spans="2:3">
      <c r="B189" s="1"/>
      <c r="C189" s="1"/>
    </row>
    <row r="190" spans="2:3">
      <c r="B190" s="1"/>
      <c r="C190" s="1"/>
    </row>
    <row r="191" spans="2:3">
      <c r="B191" s="1"/>
      <c r="C191" s="1"/>
    </row>
    <row r="192" spans="2:3">
      <c r="B192" s="1"/>
      <c r="C192" s="1"/>
    </row>
    <row r="193" spans="2:3">
      <c r="B193" s="1"/>
      <c r="C193" s="1"/>
    </row>
    <row r="194" spans="2:3">
      <c r="B194" s="1"/>
      <c r="C194" s="1"/>
    </row>
    <row r="195" spans="2:3">
      <c r="B195" s="1"/>
      <c r="C195" s="1"/>
    </row>
    <row r="196" spans="2:3">
      <c r="B196" s="1"/>
      <c r="C196" s="1"/>
    </row>
    <row r="197" spans="2:3">
      <c r="B197" s="1"/>
      <c r="C197" s="1"/>
    </row>
    <row r="198" spans="2:3">
      <c r="B198" s="1"/>
      <c r="C198" s="1"/>
    </row>
    <row r="199" spans="2:3">
      <c r="B199" s="1"/>
      <c r="C199" s="1"/>
    </row>
    <row r="200" spans="2:3">
      <c r="B200" s="1"/>
      <c r="C200" s="1"/>
    </row>
    <row r="201" spans="2:3">
      <c r="B201" s="1"/>
      <c r="C201" s="1"/>
    </row>
    <row r="202" spans="2:3">
      <c r="B202" s="1"/>
      <c r="C202" s="1"/>
    </row>
    <row r="203" spans="2:3">
      <c r="B203" s="1"/>
      <c r="C203" s="1"/>
    </row>
    <row r="204" spans="2:3">
      <c r="B204" s="1"/>
      <c r="C204" s="1"/>
    </row>
    <row r="205" spans="2:3">
      <c r="B205" s="1"/>
      <c r="C205" s="1"/>
    </row>
    <row r="206" spans="2:3">
      <c r="B206" s="1"/>
      <c r="C206" s="1"/>
    </row>
    <row r="207" spans="2:3">
      <c r="B207" s="1"/>
      <c r="C207" s="1"/>
    </row>
    <row r="208" spans="2:3">
      <c r="B208" s="1"/>
      <c r="C208" s="1"/>
    </row>
    <row r="209" spans="2:3">
      <c r="B209" s="1"/>
      <c r="C209" s="1"/>
    </row>
    <row r="210" spans="2:3">
      <c r="B210" s="1"/>
      <c r="C210" s="1"/>
    </row>
    <row r="211" spans="2:3">
      <c r="B211" s="1"/>
      <c r="C211" s="1"/>
    </row>
    <row r="212" spans="2:3">
      <c r="B212" s="1"/>
      <c r="C212" s="1"/>
    </row>
    <row r="213" spans="2:3">
      <c r="B213" s="1"/>
      <c r="C213" s="1"/>
    </row>
    <row r="214" spans="2:3">
      <c r="B214" s="1"/>
      <c r="C214" s="1"/>
    </row>
    <row r="215" spans="2:3">
      <c r="B215" s="1"/>
      <c r="C215" s="1"/>
    </row>
    <row r="216" spans="2:3">
      <c r="B216" s="1"/>
      <c r="C216" s="1"/>
    </row>
    <row r="217" spans="2:3">
      <c r="B217" s="1"/>
      <c r="C217" s="1"/>
    </row>
    <row r="218" spans="2:3">
      <c r="B218" s="1"/>
      <c r="C218" s="1"/>
    </row>
    <row r="219" spans="2:3">
      <c r="B219" s="1"/>
      <c r="C219" s="1"/>
    </row>
    <row r="220" spans="2:3">
      <c r="B220" s="1"/>
      <c r="C220" s="1"/>
    </row>
    <row r="221" spans="2:3">
      <c r="B221" s="1"/>
      <c r="C221" s="1"/>
    </row>
    <row r="222" spans="2:3">
      <c r="B222" s="1"/>
      <c r="C222" s="1"/>
    </row>
    <row r="223" spans="2:3">
      <c r="B223" s="1"/>
      <c r="C223" s="1"/>
    </row>
    <row r="224" spans="2:3">
      <c r="B224" s="1"/>
      <c r="C224" s="1"/>
    </row>
    <row r="225" spans="2:3">
      <c r="B225" s="1"/>
      <c r="C225" s="1"/>
    </row>
    <row r="226" spans="2:3">
      <c r="B226" s="1"/>
      <c r="C226" s="1"/>
    </row>
    <row r="227" spans="2:3">
      <c r="B227" s="1"/>
      <c r="C227" s="1"/>
    </row>
    <row r="228" spans="2:3">
      <c r="B228" s="1"/>
      <c r="C228" s="1"/>
    </row>
    <row r="229" spans="2:3">
      <c r="B229" s="1"/>
      <c r="C229" s="1"/>
    </row>
    <row r="230" spans="2:3">
      <c r="B230" s="1"/>
      <c r="C230" s="1"/>
    </row>
    <row r="231" spans="2:3">
      <c r="B231" s="1"/>
      <c r="C231" s="1"/>
    </row>
    <row r="232" spans="2:3">
      <c r="B232" s="1"/>
      <c r="C232" s="1"/>
    </row>
    <row r="233" spans="2:3">
      <c r="B233" s="1"/>
      <c r="C233" s="1"/>
    </row>
    <row r="234" spans="2:3">
      <c r="B234" s="1"/>
      <c r="C234" s="1"/>
    </row>
    <row r="235" spans="2:3">
      <c r="B235" s="1"/>
      <c r="C235" s="1"/>
    </row>
    <row r="236" spans="2:3">
      <c r="B236" s="1"/>
      <c r="C236" s="1"/>
    </row>
    <row r="237" spans="2:3">
      <c r="B237" s="1"/>
      <c r="C237" s="1"/>
    </row>
    <row r="238" spans="2:3">
      <c r="B238" s="1"/>
      <c r="C238" s="1"/>
    </row>
    <row r="239" spans="2:3">
      <c r="B239" s="1"/>
      <c r="C239" s="1"/>
    </row>
    <row r="240" spans="2:3">
      <c r="B240" s="1"/>
      <c r="C240" s="1"/>
    </row>
    <row r="241" spans="2:3">
      <c r="B241" s="1"/>
      <c r="C241" s="1"/>
    </row>
    <row r="242" spans="2:3">
      <c r="B242" s="1"/>
      <c r="C242" s="1"/>
    </row>
    <row r="243" spans="2:3">
      <c r="B243" s="1"/>
      <c r="C243" s="1"/>
    </row>
    <row r="244" spans="2:3">
      <c r="B244" s="1"/>
      <c r="C244" s="1"/>
    </row>
    <row r="245" spans="2:3">
      <c r="B245" s="1"/>
      <c r="C245" s="1"/>
    </row>
    <row r="246" spans="2:3">
      <c r="B246" s="1"/>
      <c r="C246" s="1"/>
    </row>
    <row r="247" spans="2:3">
      <c r="B247" s="1"/>
      <c r="C247" s="1"/>
    </row>
    <row r="248" spans="2:3">
      <c r="B248" s="1"/>
      <c r="C248" s="1"/>
    </row>
    <row r="249" spans="2:3">
      <c r="B249" s="1"/>
      <c r="C249" s="1"/>
    </row>
    <row r="250" spans="2:3">
      <c r="B250" s="1"/>
      <c r="C250" s="1"/>
    </row>
    <row r="251" spans="2:3">
      <c r="B251" s="1"/>
      <c r="C251" s="1"/>
    </row>
    <row r="252" spans="2:3">
      <c r="B252" s="1"/>
      <c r="C252" s="1"/>
    </row>
    <row r="253" spans="2:3">
      <c r="B253" s="1"/>
      <c r="C253" s="1"/>
    </row>
    <row r="254" spans="2:3">
      <c r="B254" s="1"/>
      <c r="C254" s="1"/>
    </row>
    <row r="255" spans="2:3">
      <c r="B255" s="1"/>
      <c r="C255" s="1"/>
    </row>
    <row r="256" spans="2:3">
      <c r="B256" s="1"/>
      <c r="C256" s="1"/>
    </row>
    <row r="257" spans="2:3">
      <c r="B257" s="1"/>
      <c r="C257" s="1"/>
    </row>
    <row r="258" spans="2:3">
      <c r="B258" s="1"/>
      <c r="C258" s="1"/>
    </row>
    <row r="259" spans="2:3">
      <c r="B259" s="1"/>
      <c r="C259" s="1"/>
    </row>
    <row r="260" spans="2:3">
      <c r="B260" s="1"/>
      <c r="C260" s="1"/>
    </row>
    <row r="261" spans="2:3">
      <c r="B261" s="1"/>
      <c r="C261" s="1"/>
    </row>
    <row r="262" spans="2:3">
      <c r="B262" s="1"/>
      <c r="C262" s="1"/>
    </row>
    <row r="263" spans="2:3">
      <c r="B263" s="1"/>
      <c r="C263" s="1"/>
    </row>
    <row r="264" spans="2:3">
      <c r="B264" s="1"/>
      <c r="C264" s="1"/>
    </row>
    <row r="265" spans="2:3">
      <c r="B265" s="1"/>
      <c r="C265" s="1"/>
    </row>
    <row r="266" spans="2:3">
      <c r="B266" s="1"/>
      <c r="C266" s="1"/>
    </row>
    <row r="267" spans="2:3">
      <c r="B267" s="1"/>
      <c r="C267" s="1"/>
    </row>
    <row r="268" spans="2:3">
      <c r="B268" s="1"/>
      <c r="C268" s="1"/>
    </row>
    <row r="269" spans="2:3">
      <c r="B269" s="1"/>
      <c r="C269" s="1"/>
    </row>
    <row r="270" spans="2:3">
      <c r="B270" s="1"/>
      <c r="C270" s="1"/>
    </row>
    <row r="271" spans="2:3">
      <c r="B271" s="1"/>
      <c r="C271" s="1"/>
    </row>
    <row r="272" spans="2:3">
      <c r="B272" s="1"/>
      <c r="C272" s="1"/>
    </row>
    <row r="273" spans="2:3">
      <c r="B273" s="1"/>
      <c r="C273" s="1"/>
    </row>
    <row r="274" spans="2:3">
      <c r="B274" s="1"/>
      <c r="C274" s="1"/>
    </row>
    <row r="275" spans="2:3">
      <c r="B275" s="1"/>
      <c r="C275" s="1"/>
    </row>
    <row r="276" spans="2:3">
      <c r="B276" s="1"/>
      <c r="C276" s="1"/>
    </row>
    <row r="277" spans="2:3">
      <c r="B277" s="1"/>
      <c r="C277" s="1"/>
    </row>
    <row r="278" spans="2:3">
      <c r="B278" s="1"/>
      <c r="C278" s="1"/>
    </row>
    <row r="279" spans="2:3">
      <c r="B279" s="1"/>
      <c r="C279" s="1"/>
    </row>
    <row r="280" spans="2:3">
      <c r="B280" s="1"/>
      <c r="C280" s="1"/>
    </row>
    <row r="281" spans="2:3">
      <c r="B281" s="1"/>
      <c r="C281" s="1"/>
    </row>
    <row r="282" spans="2:3">
      <c r="B282" s="1"/>
      <c r="C282" s="1"/>
    </row>
    <row r="283" spans="2:3">
      <c r="B283" s="1"/>
      <c r="C283" s="1"/>
    </row>
    <row r="284" spans="2:3">
      <c r="B284" s="1"/>
      <c r="C284" s="1"/>
    </row>
    <row r="285" spans="2:3">
      <c r="B285" s="1"/>
      <c r="C285" s="1"/>
    </row>
    <row r="286" spans="2:3">
      <c r="B286" s="1"/>
      <c r="C286" s="1"/>
    </row>
    <row r="287" spans="2:3">
      <c r="B287" s="1"/>
      <c r="C287" s="1"/>
    </row>
    <row r="288" spans="2:3">
      <c r="B288" s="1"/>
      <c r="C288" s="1"/>
    </row>
    <row r="289" spans="2:3">
      <c r="B289" s="1"/>
      <c r="C289" s="1"/>
    </row>
    <row r="290" spans="2:3">
      <c r="B290" s="1"/>
      <c r="C290" s="1"/>
    </row>
    <row r="291" spans="2:3">
      <c r="B291" s="1"/>
      <c r="C291" s="1"/>
    </row>
    <row r="292" spans="2:3">
      <c r="B292" s="1"/>
      <c r="C292" s="1"/>
    </row>
    <row r="293" spans="2:3">
      <c r="B293" s="1"/>
      <c r="C293" s="1"/>
    </row>
    <row r="294" spans="2:3">
      <c r="B294" s="1"/>
      <c r="C294" s="1"/>
    </row>
    <row r="295" spans="2:3">
      <c r="B295" s="1"/>
      <c r="C295" s="1"/>
    </row>
    <row r="296" spans="2:3">
      <c r="B296" s="1"/>
      <c r="C296" s="1"/>
    </row>
    <row r="297" spans="2:3">
      <c r="B297" s="1"/>
      <c r="C297" s="1"/>
    </row>
    <row r="298" spans="2:3">
      <c r="B298" s="1"/>
      <c r="C298" s="1"/>
    </row>
    <row r="299" spans="2:3">
      <c r="B299" s="1"/>
      <c r="C299" s="1"/>
    </row>
    <row r="300" spans="2:3">
      <c r="B300" s="1"/>
      <c r="C300" s="1"/>
    </row>
    <row r="301" spans="2:3">
      <c r="B301" s="1"/>
      <c r="C301" s="1"/>
    </row>
    <row r="302" spans="2:3">
      <c r="B302" s="1"/>
      <c r="C302" s="1"/>
    </row>
    <row r="303" spans="2:3">
      <c r="B303" s="1"/>
      <c r="C303" s="1"/>
    </row>
    <row r="304" spans="2:3">
      <c r="B304" s="1"/>
      <c r="C304" s="1"/>
    </row>
    <row r="305" spans="2:3">
      <c r="B305" s="1"/>
      <c r="C305" s="1"/>
    </row>
    <row r="306" spans="2:3">
      <c r="B306" s="1"/>
      <c r="C306" s="1"/>
    </row>
    <row r="307" spans="2:3">
      <c r="B307" s="1"/>
      <c r="C307" s="1"/>
    </row>
    <row r="308" spans="2:3">
      <c r="B308" s="1"/>
      <c r="C308" s="1"/>
    </row>
    <row r="309" spans="2:3">
      <c r="B309" s="1"/>
      <c r="C309" s="1"/>
    </row>
    <row r="310" spans="2:3">
      <c r="B310" s="1"/>
      <c r="C310" s="1"/>
    </row>
    <row r="311" spans="2:3">
      <c r="B311" s="1"/>
      <c r="C311" s="1"/>
    </row>
    <row r="312" spans="2:3">
      <c r="B312" s="1"/>
      <c r="C312" s="1"/>
    </row>
    <row r="313" spans="2:3">
      <c r="B313" s="1"/>
      <c r="C313" s="1"/>
    </row>
    <row r="314" spans="2:3">
      <c r="B314" s="1"/>
      <c r="C314" s="1"/>
    </row>
    <row r="315" spans="2:3">
      <c r="B315" s="1"/>
      <c r="C315" s="1"/>
    </row>
    <row r="316" spans="2:3">
      <c r="B316" s="1"/>
      <c r="C316" s="1"/>
    </row>
    <row r="317" spans="2:3">
      <c r="B317" s="1"/>
      <c r="C317" s="1"/>
    </row>
    <row r="318" spans="2:3">
      <c r="B318" s="1"/>
      <c r="C318" s="1"/>
    </row>
    <row r="319" spans="2:3">
      <c r="B319" s="1"/>
      <c r="C319" s="1"/>
    </row>
    <row r="320" spans="2:3">
      <c r="B320" s="1"/>
      <c r="C320" s="1"/>
    </row>
    <row r="321" spans="2:3">
      <c r="B321" s="1"/>
      <c r="C321" s="1"/>
    </row>
    <row r="322" spans="2:3">
      <c r="B322" s="1"/>
      <c r="C322" s="1"/>
    </row>
    <row r="323" spans="2:3">
      <c r="B323" s="1"/>
      <c r="C323" s="1"/>
    </row>
    <row r="324" spans="2:3">
      <c r="B324" s="1"/>
      <c r="C324" s="1"/>
    </row>
    <row r="325" spans="2:3">
      <c r="B325" s="1"/>
      <c r="C325" s="1"/>
    </row>
    <row r="326" spans="2:3">
      <c r="B326" s="1"/>
      <c r="C326" s="1"/>
    </row>
    <row r="327" spans="2:3">
      <c r="B327" s="1"/>
      <c r="C327" s="1"/>
    </row>
    <row r="328" spans="2:3">
      <c r="B328" s="1"/>
      <c r="C328" s="1"/>
    </row>
    <row r="329" spans="2:3">
      <c r="B329" s="1"/>
      <c r="C329" s="1"/>
    </row>
    <row r="330" spans="2:3">
      <c r="B330" s="1"/>
      <c r="C330" s="1"/>
    </row>
    <row r="331" spans="2:3">
      <c r="B331" s="1"/>
      <c r="C331" s="1"/>
    </row>
    <row r="332" spans="2:3">
      <c r="B332" s="1"/>
      <c r="C332" s="1"/>
    </row>
    <row r="333" spans="2:3">
      <c r="B333" s="1"/>
      <c r="C333" s="1"/>
    </row>
    <row r="334" spans="2:3">
      <c r="B334" s="1"/>
      <c r="C334" s="1"/>
    </row>
    <row r="335" spans="2:3">
      <c r="B335" s="1"/>
      <c r="C335" s="1"/>
    </row>
    <row r="336" spans="2:3">
      <c r="B336" s="1"/>
      <c r="C336" s="1"/>
    </row>
    <row r="337" spans="2:3">
      <c r="B337" s="1"/>
      <c r="C337" s="1"/>
    </row>
    <row r="338" spans="2:3">
      <c r="B338" s="1"/>
      <c r="C338" s="1"/>
    </row>
    <row r="339" spans="2:3">
      <c r="B339" s="1"/>
      <c r="C339" s="1"/>
    </row>
    <row r="340" spans="2:3">
      <c r="B340" s="1"/>
      <c r="C340" s="1"/>
    </row>
    <row r="341" spans="2:3">
      <c r="B341" s="1"/>
      <c r="C341" s="1"/>
    </row>
    <row r="342" spans="2:3">
      <c r="B342" s="1"/>
      <c r="C342" s="1"/>
    </row>
    <row r="343" spans="2:3">
      <c r="B343" s="1"/>
      <c r="C343" s="1"/>
    </row>
    <row r="344" spans="2:3">
      <c r="B344" s="1"/>
      <c r="C344" s="1"/>
    </row>
    <row r="345" spans="2:3">
      <c r="B345" s="1"/>
      <c r="C345" s="1"/>
    </row>
    <row r="346" spans="2:3">
      <c r="B346" s="1"/>
      <c r="C346" s="1"/>
    </row>
    <row r="347" spans="2:3">
      <c r="B347" s="1"/>
      <c r="C347" s="1"/>
    </row>
    <row r="348" spans="2:3">
      <c r="B348" s="1"/>
      <c r="C348" s="1"/>
    </row>
    <row r="349" spans="2:3">
      <c r="B349" s="1"/>
      <c r="C349" s="1"/>
    </row>
    <row r="350" spans="2:3">
      <c r="B350" s="1"/>
      <c r="C350" s="1"/>
    </row>
    <row r="351" spans="2:3">
      <c r="B351" s="1"/>
      <c r="C351" s="1"/>
    </row>
    <row r="352" spans="2:3">
      <c r="B352" s="1"/>
      <c r="C352" s="1"/>
    </row>
    <row r="353" spans="2:3">
      <c r="B353" s="1"/>
      <c r="C353" s="1"/>
    </row>
    <row r="354" spans="2:3">
      <c r="B354" s="1"/>
      <c r="C354" s="1"/>
    </row>
    <row r="355" spans="2:3">
      <c r="B355" s="1"/>
      <c r="C355" s="1"/>
    </row>
    <row r="356" spans="2:3">
      <c r="B356" s="1"/>
      <c r="C356" s="1"/>
    </row>
    <row r="357" spans="2:3">
      <c r="B357" s="1"/>
      <c r="C357" s="1"/>
    </row>
    <row r="358" spans="2:3">
      <c r="B358" s="1"/>
      <c r="C358" s="1"/>
    </row>
    <row r="359" spans="2:3">
      <c r="B359" s="1"/>
      <c r="C359" s="1"/>
    </row>
    <row r="360" spans="2:3">
      <c r="B360" s="1"/>
      <c r="C360" s="1"/>
    </row>
    <row r="361" spans="2:3">
      <c r="B361" s="1"/>
      <c r="C361" s="1"/>
    </row>
    <row r="362" spans="2:3">
      <c r="B362" s="1"/>
      <c r="C362" s="1"/>
    </row>
    <row r="363" spans="2:3">
      <c r="B363" s="1"/>
      <c r="C363" s="1"/>
    </row>
    <row r="364" spans="2:3">
      <c r="B364" s="1"/>
      <c r="C364" s="1"/>
    </row>
    <row r="365" spans="2:3">
      <c r="B365" s="1"/>
      <c r="C365" s="1"/>
    </row>
    <row r="366" spans="2:3">
      <c r="B366" s="1"/>
      <c r="C36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Geometry</vt:lpstr>
      <vt:lpstr>Dynamics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Pasquale</dc:creator>
  <cp:lastModifiedBy>Jonathan Sztainberg</cp:lastModifiedBy>
  <dcterms:created xsi:type="dcterms:W3CDTF">2026-02-28T23:10:59Z</dcterms:created>
  <dcterms:modified xsi:type="dcterms:W3CDTF">2026-03-10T22:36:44Z</dcterms:modified>
</cp:coreProperties>
</file>