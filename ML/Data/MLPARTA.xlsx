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athan/School/Python/"/>
    </mc:Choice>
  </mc:AlternateContent>
  <xr:revisionPtr revIDLastSave="0" documentId="13_ncr:1_{77D45A63-1117-8F4A-BD1D-2B8798D4C798}" xr6:coauthVersionLast="47" xr6:coauthVersionMax="47" xr10:uidLastSave="{00000000-0000-0000-0000-000000000000}"/>
  <bookViews>
    <workbookView xWindow="0" yWindow="760" windowWidth="29400" windowHeight="18360" xr2:uid="{BC048AF6-1244-4540-8538-620CC49C9B23}"/>
  </bookViews>
  <sheets>
    <sheet name="Geometry" sheetId="2" r:id="rId1"/>
    <sheet name="Dynamics" sheetId="3" r:id="rId2"/>
  </sheets>
  <definedNames>
    <definedName name="_xlnm._FilterDatabase" localSheetId="0" hidden="1">Geometry!$C$1:$D$101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4" i="2" l="1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3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2" i="2"/>
  <c r="AA3" i="2" l="1"/>
  <c r="AB3" i="2" s="1"/>
  <c r="AA4" i="2"/>
  <c r="AA5" i="2"/>
  <c r="AB5" i="2" s="1"/>
  <c r="AA6" i="2"/>
  <c r="AB6" i="2" s="1"/>
  <c r="AA7" i="2"/>
  <c r="AB7" i="2" s="1"/>
  <c r="AA8" i="2"/>
  <c r="AB8" i="2" s="1"/>
  <c r="AA9" i="2"/>
  <c r="AB9" i="2" s="1"/>
  <c r="AA10" i="2"/>
  <c r="AB10" i="2" s="1"/>
  <c r="AA11" i="2"/>
  <c r="AA12" i="2"/>
  <c r="AB12" i="2" s="1"/>
  <c r="AA13" i="2"/>
  <c r="AB13" i="2" s="1"/>
  <c r="AA14" i="2"/>
  <c r="AA15" i="2"/>
  <c r="AB15" i="2" s="1"/>
  <c r="AA16" i="2"/>
  <c r="AB16" i="2" s="1"/>
  <c r="AA17" i="2"/>
  <c r="AB17" i="2" s="1"/>
  <c r="AA18" i="2"/>
  <c r="AB18" i="2" s="1"/>
  <c r="AA19" i="2"/>
  <c r="AB19" i="2" s="1"/>
  <c r="AA20" i="2"/>
  <c r="AB20" i="2" s="1"/>
  <c r="AA21" i="2"/>
  <c r="AB21" i="2" s="1"/>
  <c r="AA22" i="2"/>
  <c r="AA23" i="2"/>
  <c r="AB23" i="2" s="1"/>
  <c r="AA24" i="2"/>
  <c r="AA25" i="2"/>
  <c r="AB25" i="2" s="1"/>
  <c r="AA26" i="2"/>
  <c r="AB26" i="2" s="1"/>
  <c r="AA27" i="2"/>
  <c r="AB27" i="2" s="1"/>
  <c r="AA28" i="2"/>
  <c r="AB28" i="2" s="1"/>
  <c r="AA29" i="2"/>
  <c r="AB29" i="2" s="1"/>
  <c r="AA30" i="2"/>
  <c r="AB30" i="2" s="1"/>
  <c r="AA31" i="2"/>
  <c r="AB31" i="2" s="1"/>
  <c r="AA32" i="2"/>
  <c r="AB32" i="2" s="1"/>
  <c r="AA33" i="2"/>
  <c r="AB33" i="2" s="1"/>
  <c r="AA34" i="2"/>
  <c r="AA35" i="2"/>
  <c r="AB35" i="2" s="1"/>
  <c r="AA36" i="2"/>
  <c r="AB36" i="2" s="1"/>
  <c r="AA37" i="2"/>
  <c r="AB37" i="2" s="1"/>
  <c r="AA38" i="2"/>
  <c r="AB38" i="2" s="1"/>
  <c r="AA39" i="2"/>
  <c r="AB39" i="2" s="1"/>
  <c r="AA40" i="2"/>
  <c r="AB40" i="2" s="1"/>
  <c r="AA41" i="2"/>
  <c r="AB41" i="2" s="1"/>
  <c r="AA42" i="2"/>
  <c r="AB42" i="2" s="1"/>
  <c r="AA43" i="2"/>
  <c r="AB43" i="2" s="1"/>
  <c r="AA44" i="2"/>
  <c r="AA45" i="2"/>
  <c r="AB45" i="2" s="1"/>
  <c r="AA46" i="2"/>
  <c r="AB46" i="2" s="1"/>
  <c r="AA47" i="2"/>
  <c r="AB47" i="2" s="1"/>
  <c r="AA48" i="2"/>
  <c r="AA49" i="2"/>
  <c r="AB49" i="2" s="1"/>
  <c r="AA50" i="2"/>
  <c r="AB50" i="2" s="1"/>
  <c r="AA51" i="2"/>
  <c r="AA52" i="2"/>
  <c r="AA53" i="2"/>
  <c r="AB53" i="2" s="1"/>
  <c r="AA54" i="2"/>
  <c r="AA55" i="2"/>
  <c r="AB55" i="2" s="1"/>
  <c r="AA56" i="2"/>
  <c r="AB56" i="2" s="1"/>
  <c r="AA57" i="2"/>
  <c r="AB57" i="2" s="1"/>
  <c r="AA58" i="2"/>
  <c r="AB58" i="2" s="1"/>
  <c r="AA59" i="2"/>
  <c r="AB59" i="2" s="1"/>
  <c r="AA60" i="2"/>
  <c r="AB60" i="2" s="1"/>
  <c r="AA61" i="2"/>
  <c r="AA62" i="2"/>
  <c r="AA63" i="2"/>
  <c r="AB63" i="2" s="1"/>
  <c r="AA64" i="2"/>
  <c r="AA65" i="2"/>
  <c r="AB65" i="2" s="1"/>
  <c r="AA66" i="2"/>
  <c r="AB66" i="2" s="1"/>
  <c r="AA67" i="2"/>
  <c r="AB67" i="2" s="1"/>
  <c r="AA68" i="2"/>
  <c r="AA69" i="2"/>
  <c r="AB69" i="2" s="1"/>
  <c r="AA70" i="2"/>
  <c r="AB70" i="2" s="1"/>
  <c r="AA71" i="2"/>
  <c r="AB71" i="2" s="1"/>
  <c r="AA72" i="2"/>
  <c r="AA73" i="2"/>
  <c r="AB73" i="2" s="1"/>
  <c r="AA74" i="2"/>
  <c r="AA75" i="2"/>
  <c r="AB75" i="2" s="1"/>
  <c r="AA76" i="2"/>
  <c r="AB76" i="2" s="1"/>
  <c r="AA77" i="2"/>
  <c r="AB77" i="2" s="1"/>
  <c r="AA78" i="2"/>
  <c r="AB78" i="2" s="1"/>
  <c r="AA79" i="2"/>
  <c r="AB79" i="2" s="1"/>
  <c r="AA80" i="2"/>
  <c r="AB80" i="2" s="1"/>
  <c r="AA81" i="2"/>
  <c r="AB81" i="2" s="1"/>
  <c r="AA82" i="2"/>
  <c r="AB82" i="2" s="1"/>
  <c r="AA83" i="2"/>
  <c r="AB83" i="2" s="1"/>
  <c r="AA84" i="2"/>
  <c r="AA85" i="2"/>
  <c r="AB85" i="2" s="1"/>
  <c r="AA86" i="2"/>
  <c r="AB86" i="2" s="1"/>
  <c r="AA87" i="2"/>
  <c r="AB87" i="2" s="1"/>
  <c r="AA88" i="2"/>
  <c r="AB88" i="2" s="1"/>
  <c r="AA89" i="2"/>
  <c r="AB89" i="2" s="1"/>
  <c r="AA90" i="2"/>
  <c r="AB90" i="2" s="1"/>
  <c r="AA91" i="2"/>
  <c r="AA92" i="2"/>
  <c r="AB92" i="2" s="1"/>
  <c r="AA93" i="2"/>
  <c r="AB93" i="2" s="1"/>
  <c r="AA94" i="2"/>
  <c r="AA95" i="2"/>
  <c r="AB95" i="2" s="1"/>
  <c r="AA96" i="2"/>
  <c r="AB96" i="2" s="1"/>
  <c r="AA97" i="2"/>
  <c r="AA98" i="2"/>
  <c r="AB98" i="2" s="1"/>
  <c r="AA99" i="2"/>
  <c r="AB99" i="2" s="1"/>
  <c r="AA100" i="2"/>
  <c r="AB100" i="2" s="1"/>
  <c r="AA101" i="2"/>
  <c r="AB101" i="2" s="1"/>
  <c r="AB4" i="2"/>
  <c r="AB11" i="2"/>
  <c r="AB14" i="2"/>
  <c r="AB22" i="2"/>
  <c r="AB24" i="2"/>
  <c r="AB34" i="2"/>
  <c r="AB44" i="2"/>
  <c r="AB48" i="2"/>
  <c r="AB51" i="2"/>
  <c r="AB52" i="2"/>
  <c r="AB54" i="2"/>
  <c r="AB61" i="2"/>
  <c r="AB62" i="2"/>
  <c r="AB64" i="2"/>
  <c r="AB68" i="2"/>
  <c r="AB72" i="2"/>
  <c r="AB74" i="2"/>
  <c r="AB84" i="2"/>
  <c r="AB91" i="2"/>
  <c r="AB94" i="2"/>
  <c r="AB97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2" i="2"/>
  <c r="I2" i="2"/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2" i="2"/>
  <c r="AA2" i="2"/>
  <c r="AB2" i="2" s="1"/>
  <c r="F28" i="3"/>
  <c r="E28" i="3"/>
  <c r="D27" i="3"/>
  <c r="F27" i="3"/>
  <c r="E26" i="3"/>
  <c r="F26" i="3"/>
  <c r="D26" i="3"/>
  <c r="F25" i="3"/>
  <c r="E25" i="3"/>
  <c r="F24" i="3"/>
  <c r="G24" i="3"/>
  <c r="E24" i="3"/>
  <c r="G23" i="3"/>
  <c r="F20" i="3"/>
  <c r="D21" i="3"/>
  <c r="F21" i="3"/>
  <c r="G21" i="3"/>
  <c r="D22" i="3"/>
  <c r="E22" i="3"/>
  <c r="F22" i="3"/>
  <c r="E23" i="3"/>
  <c r="F23" i="3"/>
  <c r="G19" i="3"/>
  <c r="G14" i="3"/>
  <c r="E14" i="3"/>
  <c r="F14" i="3"/>
  <c r="D14" i="3"/>
  <c r="D25" i="3"/>
  <c r="D24" i="3"/>
  <c r="E20" i="3"/>
  <c r="D20" i="3"/>
  <c r="F19" i="3"/>
  <c r="D19" i="3"/>
  <c r="D12" i="3"/>
  <c r="G12" i="3"/>
  <c r="F12" i="3"/>
  <c r="E12" i="3"/>
  <c r="F8" i="3"/>
  <c r="G8" i="3"/>
  <c r="G9" i="3"/>
  <c r="F9" i="3"/>
  <c r="F7" i="3"/>
  <c r="E9" i="3"/>
  <c r="D8" i="3"/>
  <c r="D7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G7" i="3"/>
  <c r="G10" i="3"/>
  <c r="G11" i="3"/>
  <c r="G13" i="3"/>
  <c r="G15" i="3"/>
  <c r="G16" i="3"/>
  <c r="G17" i="3"/>
  <c r="G18" i="3"/>
  <c r="G27" i="3"/>
  <c r="G28" i="3"/>
  <c r="F10" i="3"/>
  <c r="F11" i="3"/>
  <c r="F13" i="3"/>
  <c r="F15" i="3"/>
  <c r="F16" i="3"/>
  <c r="F17" i="3"/>
  <c r="F18" i="3"/>
  <c r="E10" i="3"/>
  <c r="E11" i="3"/>
  <c r="E13" i="3"/>
  <c r="E15" i="3"/>
  <c r="E16" i="3"/>
  <c r="E17" i="3"/>
  <c r="E18" i="3"/>
  <c r="D10" i="3"/>
  <c r="D11" i="3"/>
  <c r="D13" i="3"/>
  <c r="D15" i="3"/>
  <c r="D16" i="3"/>
  <c r="D17" i="3"/>
  <c r="D18" i="3"/>
  <c r="H6" i="3"/>
  <c r="G6" i="3"/>
  <c r="F6" i="3"/>
  <c r="E6" i="3"/>
  <c r="D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6" i="3"/>
  <c r="X100" i="2" l="1"/>
  <c r="X60" i="2"/>
  <c r="X30" i="2"/>
  <c r="X79" i="2"/>
  <c r="X39" i="2"/>
  <c r="X98" i="2"/>
  <c r="X78" i="2"/>
  <c r="X48" i="2"/>
  <c r="X38" i="2"/>
  <c r="X28" i="2"/>
  <c r="X18" i="2"/>
  <c r="X8" i="2"/>
  <c r="X92" i="2"/>
  <c r="X101" i="2"/>
  <c r="X80" i="2"/>
  <c r="X40" i="2"/>
  <c r="X10" i="2"/>
  <c r="X69" i="2"/>
  <c r="X49" i="2"/>
  <c r="X19" i="2"/>
  <c r="X97" i="2"/>
  <c r="X87" i="2"/>
  <c r="X77" i="2"/>
  <c r="X67" i="2"/>
  <c r="X57" i="2"/>
  <c r="X47" i="2"/>
  <c r="X37" i="2"/>
  <c r="X27" i="2"/>
  <c r="X17" i="2"/>
  <c r="X7" i="2"/>
  <c r="X46" i="2"/>
  <c r="X36" i="2"/>
  <c r="X26" i="2"/>
  <c r="X16" i="2"/>
  <c r="X6" i="2"/>
  <c r="X82" i="2"/>
  <c r="X52" i="2"/>
  <c r="X22" i="2"/>
  <c r="X81" i="2"/>
  <c r="X61" i="2"/>
  <c r="X31" i="2"/>
  <c r="X90" i="2"/>
  <c r="X99" i="2"/>
  <c r="X59" i="2"/>
  <c r="X29" i="2"/>
  <c r="X9" i="2"/>
  <c r="X88" i="2"/>
  <c r="X72" i="2"/>
  <c r="X42" i="2"/>
  <c r="X50" i="2"/>
  <c r="X89" i="2"/>
  <c r="X58" i="2"/>
  <c r="X62" i="2"/>
  <c r="X32" i="2"/>
  <c r="X12" i="2"/>
  <c r="X91" i="2"/>
  <c r="X71" i="2"/>
  <c r="X51" i="2"/>
  <c r="X41" i="2"/>
  <c r="X21" i="2"/>
  <c r="X11" i="2"/>
  <c r="X70" i="2"/>
  <c r="X20" i="2"/>
  <c r="X68" i="2"/>
  <c r="X96" i="2"/>
  <c r="X86" i="2"/>
  <c r="X76" i="2"/>
  <c r="X66" i="2"/>
  <c r="X56" i="2"/>
  <c r="X95" i="2"/>
  <c r="X85" i="2"/>
  <c r="X75" i="2"/>
  <c r="X65" i="2"/>
  <c r="X55" i="2"/>
  <c r="X45" i="2"/>
  <c r="X35" i="2"/>
  <c r="X25" i="2"/>
  <c r="X15" i="2"/>
  <c r="X5" i="2"/>
  <c r="X94" i="2"/>
  <c r="X84" i="2"/>
  <c r="X74" i="2"/>
  <c r="X64" i="2"/>
  <c r="X54" i="2"/>
  <c r="X44" i="2"/>
  <c r="X34" i="2"/>
  <c r="X24" i="2"/>
  <c r="X14" i="2"/>
  <c r="X4" i="2"/>
  <c r="X93" i="2"/>
  <c r="X83" i="2"/>
  <c r="X73" i="2"/>
  <c r="X63" i="2"/>
  <c r="X53" i="2"/>
  <c r="X43" i="2"/>
  <c r="X33" i="2"/>
  <c r="X23" i="2"/>
  <c r="X13" i="2"/>
  <c r="X3" i="2"/>
  <c r="O90" i="2"/>
  <c r="P90" i="2"/>
  <c r="P20" i="2"/>
  <c r="O20" i="2"/>
  <c r="P89" i="2"/>
  <c r="O89" i="2"/>
  <c r="O69" i="2"/>
  <c r="P69" i="2"/>
  <c r="P59" i="2"/>
  <c r="O59" i="2"/>
  <c r="O29" i="2"/>
  <c r="P29" i="2"/>
  <c r="P9" i="2"/>
  <c r="O9" i="2"/>
  <c r="P98" i="2"/>
  <c r="O98" i="2"/>
  <c r="O93" i="2"/>
  <c r="P93" i="2"/>
  <c r="P83" i="2"/>
  <c r="O83" i="2"/>
  <c r="P73" i="2"/>
  <c r="O73" i="2"/>
  <c r="P63" i="2"/>
  <c r="O63" i="2"/>
  <c r="P53" i="2"/>
  <c r="O53" i="2"/>
  <c r="P43" i="2"/>
  <c r="O43" i="2"/>
  <c r="P33" i="2"/>
  <c r="O33" i="2"/>
  <c r="P23" i="2"/>
  <c r="O23" i="2"/>
  <c r="P13" i="2"/>
  <c r="O13" i="2"/>
  <c r="P3" i="2"/>
  <c r="O3" i="2"/>
  <c r="X2" i="2"/>
  <c r="P2" i="2"/>
  <c r="O2" i="2"/>
  <c r="U2" i="2"/>
  <c r="V2" i="2"/>
  <c r="O92" i="2"/>
  <c r="P92" i="2"/>
  <c r="O82" i="2"/>
  <c r="P82" i="2"/>
  <c r="O72" i="2"/>
  <c r="P72" i="2"/>
  <c r="P62" i="2"/>
  <c r="O62" i="2"/>
  <c r="O52" i="2"/>
  <c r="P52" i="2"/>
  <c r="O42" i="2"/>
  <c r="P42" i="2"/>
  <c r="P32" i="2"/>
  <c r="O32" i="2"/>
  <c r="P22" i="2"/>
  <c r="O22" i="2"/>
  <c r="P12" i="2"/>
  <c r="O12" i="2"/>
  <c r="O51" i="2"/>
  <c r="P51" i="2"/>
  <c r="P11" i="2"/>
  <c r="O11" i="2"/>
  <c r="P71" i="2"/>
  <c r="O71" i="2"/>
  <c r="O80" i="2"/>
  <c r="P80" i="2"/>
  <c r="P101" i="2"/>
  <c r="O101" i="2"/>
  <c r="P91" i="2"/>
  <c r="O91" i="2"/>
  <c r="O81" i="2"/>
  <c r="P81" i="2"/>
  <c r="P61" i="2"/>
  <c r="O61" i="2"/>
  <c r="P41" i="2"/>
  <c r="O41" i="2"/>
  <c r="P21" i="2"/>
  <c r="O21" i="2"/>
  <c r="O70" i="2"/>
  <c r="P70" i="2"/>
  <c r="O40" i="2"/>
  <c r="P40" i="2"/>
  <c r="O99" i="2"/>
  <c r="P99" i="2"/>
  <c r="P50" i="2"/>
  <c r="O50" i="2"/>
  <c r="O31" i="2"/>
  <c r="P31" i="2"/>
  <c r="O100" i="2"/>
  <c r="P100" i="2"/>
  <c r="O30" i="2"/>
  <c r="P30" i="2"/>
  <c r="P10" i="2"/>
  <c r="O10" i="2"/>
  <c r="P79" i="2"/>
  <c r="O79" i="2"/>
  <c r="P49" i="2"/>
  <c r="O49" i="2"/>
  <c r="P39" i="2"/>
  <c r="O39" i="2"/>
  <c r="O19" i="2"/>
  <c r="P19" i="2"/>
  <c r="O68" i="2"/>
  <c r="P68" i="2"/>
  <c r="O38" i="2"/>
  <c r="P38" i="2"/>
  <c r="P8" i="2"/>
  <c r="O8" i="2"/>
  <c r="O96" i="2"/>
  <c r="P96" i="2"/>
  <c r="O86" i="2"/>
  <c r="P86" i="2"/>
  <c r="O76" i="2"/>
  <c r="P76" i="2"/>
  <c r="O66" i="2"/>
  <c r="P66" i="2"/>
  <c r="O56" i="2"/>
  <c r="P56" i="2"/>
  <c r="O46" i="2"/>
  <c r="P46" i="2"/>
  <c r="O36" i="2"/>
  <c r="P36" i="2"/>
  <c r="O26" i="2"/>
  <c r="P26" i="2"/>
  <c r="O16" i="2"/>
  <c r="P16" i="2"/>
  <c r="O6" i="2"/>
  <c r="P6" i="2"/>
  <c r="P60" i="2"/>
  <c r="O60" i="2"/>
  <c r="O88" i="2"/>
  <c r="P88" i="2"/>
  <c r="P58" i="2"/>
  <c r="O58" i="2"/>
  <c r="O48" i="2"/>
  <c r="P48" i="2"/>
  <c r="O28" i="2"/>
  <c r="P28" i="2"/>
  <c r="P97" i="2"/>
  <c r="O97" i="2"/>
  <c r="O87" i="2"/>
  <c r="P87" i="2"/>
  <c r="O77" i="2"/>
  <c r="P77" i="2"/>
  <c r="O67" i="2"/>
  <c r="P67" i="2"/>
  <c r="O57" i="2"/>
  <c r="P57" i="2"/>
  <c r="O47" i="2"/>
  <c r="P47" i="2"/>
  <c r="O37" i="2"/>
  <c r="P37" i="2"/>
  <c r="O27" i="2"/>
  <c r="P27" i="2"/>
  <c r="O17" i="2"/>
  <c r="P17" i="2"/>
  <c r="O7" i="2"/>
  <c r="P7" i="2"/>
  <c r="P95" i="2"/>
  <c r="O95" i="2"/>
  <c r="P85" i="2"/>
  <c r="O85" i="2"/>
  <c r="P75" i="2"/>
  <c r="O75" i="2"/>
  <c r="P65" i="2"/>
  <c r="O65" i="2"/>
  <c r="P55" i="2"/>
  <c r="O55" i="2"/>
  <c r="P45" i="2"/>
  <c r="O45" i="2"/>
  <c r="P35" i="2"/>
  <c r="O35" i="2"/>
  <c r="P25" i="2"/>
  <c r="O25" i="2"/>
  <c r="P15" i="2"/>
  <c r="O15" i="2"/>
  <c r="P5" i="2"/>
  <c r="O5" i="2"/>
  <c r="P78" i="2"/>
  <c r="O78" i="2"/>
  <c r="O18" i="2"/>
  <c r="P18" i="2"/>
  <c r="P94" i="2"/>
  <c r="O94" i="2"/>
  <c r="O84" i="2"/>
  <c r="P84" i="2"/>
  <c r="P74" i="2"/>
  <c r="O74" i="2"/>
  <c r="P64" i="2"/>
  <c r="O64" i="2"/>
  <c r="O54" i="2"/>
  <c r="P54" i="2"/>
  <c r="P44" i="2"/>
  <c r="O44" i="2"/>
  <c r="P34" i="2"/>
  <c r="O34" i="2"/>
  <c r="P24" i="2"/>
  <c r="O24" i="2"/>
  <c r="O14" i="2"/>
  <c r="P14" i="2"/>
  <c r="O4" i="2"/>
  <c r="P4" i="2"/>
  <c r="J6" i="3"/>
  <c r="D28" i="3"/>
  <c r="J28" i="3" s="1"/>
  <c r="E27" i="3"/>
  <c r="J27" i="3" s="1"/>
  <c r="E19" i="3"/>
  <c r="J19" i="3" s="1"/>
  <c r="E21" i="3"/>
  <c r="I21" i="3" s="1"/>
  <c r="D23" i="3"/>
  <c r="I23" i="3" s="1"/>
  <c r="G26" i="3"/>
  <c r="G25" i="3"/>
  <c r="G22" i="3"/>
  <c r="G20" i="3"/>
  <c r="E8" i="3"/>
  <c r="I8" i="3" s="1"/>
  <c r="E7" i="3"/>
  <c r="J7" i="3" s="1"/>
  <c r="D9" i="3"/>
  <c r="J9" i="3" s="1"/>
  <c r="K6" i="2"/>
  <c r="L6" i="2" s="1"/>
  <c r="K7" i="2"/>
  <c r="L7" i="2" s="1"/>
  <c r="K24" i="2"/>
  <c r="L24" i="2" s="1"/>
  <c r="K14" i="2"/>
  <c r="L14" i="2" s="1"/>
  <c r="K12" i="2"/>
  <c r="L12" i="2" s="1"/>
  <c r="R12" i="2" s="1"/>
  <c r="T12" i="2" s="1"/>
  <c r="Y12" i="2" s="1"/>
  <c r="Z12" i="2" s="1"/>
  <c r="K11" i="2"/>
  <c r="L11" i="2" s="1"/>
  <c r="K9" i="2"/>
  <c r="L9" i="2" s="1"/>
  <c r="R9" i="2" s="1"/>
  <c r="T9" i="2" s="1"/>
  <c r="Y9" i="2" s="1"/>
  <c r="Z9" i="2" s="1"/>
  <c r="K8" i="2"/>
  <c r="L8" i="2" s="1"/>
  <c r="J24" i="3"/>
  <c r="J14" i="3"/>
  <c r="K13" i="2"/>
  <c r="L13" i="2" s="1"/>
  <c r="K2" i="2"/>
  <c r="L2" i="2" s="1"/>
  <c r="I10" i="3"/>
  <c r="I18" i="3"/>
  <c r="J15" i="3"/>
  <c r="J11" i="3"/>
  <c r="J20" i="3"/>
  <c r="J10" i="3"/>
  <c r="I11" i="3"/>
  <c r="I13" i="3"/>
  <c r="J25" i="3"/>
  <c r="J22" i="3"/>
  <c r="J12" i="3"/>
  <c r="I24" i="3"/>
  <c r="I14" i="3"/>
  <c r="I12" i="3"/>
  <c r="J13" i="3"/>
  <c r="I22" i="3"/>
  <c r="I17" i="3"/>
  <c r="I20" i="3"/>
  <c r="J18" i="3"/>
  <c r="I26" i="3"/>
  <c r="I16" i="3"/>
  <c r="J17" i="3"/>
  <c r="I25" i="3"/>
  <c r="I15" i="3"/>
  <c r="J26" i="3"/>
  <c r="J16" i="3"/>
  <c r="I6" i="3"/>
  <c r="R24" i="2" l="1"/>
  <c r="T24" i="2" s="1"/>
  <c r="Y24" i="2" s="1"/>
  <c r="Z24" i="2" s="1"/>
  <c r="R13" i="2"/>
  <c r="T13" i="2" s="1"/>
  <c r="Y13" i="2" s="1"/>
  <c r="Z13" i="2" s="1"/>
  <c r="R11" i="2"/>
  <c r="T11" i="2" s="1"/>
  <c r="Y11" i="2" s="1"/>
  <c r="Z11" i="2" s="1"/>
  <c r="R14" i="2"/>
  <c r="T14" i="2" s="1"/>
  <c r="Y14" i="2" s="1"/>
  <c r="Z14" i="2" s="1"/>
  <c r="R7" i="2"/>
  <c r="T7" i="2" s="1"/>
  <c r="Y7" i="2" s="1"/>
  <c r="Z7" i="2" s="1"/>
  <c r="R6" i="2"/>
  <c r="T6" i="2" s="1"/>
  <c r="Y6" i="2" s="1"/>
  <c r="Z6" i="2" s="1"/>
  <c r="R8" i="2"/>
  <c r="T8" i="2" s="1"/>
  <c r="Y8" i="2" s="1"/>
  <c r="Z8" i="2" s="1"/>
  <c r="I28" i="3"/>
  <c r="K5" i="2"/>
  <c r="L5" i="2" s="1"/>
  <c r="R5" i="2" s="1"/>
  <c r="T5" i="2" s="1"/>
  <c r="Y5" i="2" s="1"/>
  <c r="Z5" i="2" s="1"/>
  <c r="K23" i="2"/>
  <c r="L23" i="2" s="1"/>
  <c r="R23" i="2" s="1"/>
  <c r="T23" i="2" s="1"/>
  <c r="Y23" i="2" s="1"/>
  <c r="Z23" i="2" s="1"/>
  <c r="J8" i="3"/>
  <c r="I27" i="3"/>
  <c r="K4" i="2"/>
  <c r="L4" i="2" s="1"/>
  <c r="R4" i="2" s="1"/>
  <c r="T4" i="2" s="1"/>
  <c r="Y4" i="2" s="1"/>
  <c r="Z4" i="2" s="1"/>
  <c r="K15" i="2"/>
  <c r="L15" i="2" s="1"/>
  <c r="R15" i="2" s="1"/>
  <c r="T15" i="2" s="1"/>
  <c r="Y15" i="2" s="1"/>
  <c r="Z15" i="2" s="1"/>
  <c r="I7" i="3"/>
  <c r="K17" i="2"/>
  <c r="L17" i="2" s="1"/>
  <c r="R17" i="2" s="1"/>
  <c r="T17" i="2" s="1"/>
  <c r="Y17" i="2" s="1"/>
  <c r="Z17" i="2" s="1"/>
  <c r="K22" i="2"/>
  <c r="L22" i="2" s="1"/>
  <c r="R22" i="2" s="1"/>
  <c r="T22" i="2" s="1"/>
  <c r="Y22" i="2" s="1"/>
  <c r="Z22" i="2" s="1"/>
  <c r="K19" i="2"/>
  <c r="L19" i="2" s="1"/>
  <c r="R19" i="2" s="1"/>
  <c r="T19" i="2" s="1"/>
  <c r="Y19" i="2" s="1"/>
  <c r="Z19" i="2" s="1"/>
  <c r="J21" i="3"/>
  <c r="K20" i="2"/>
  <c r="L20" i="2" s="1"/>
  <c r="R20" i="2" s="1"/>
  <c r="T20" i="2" s="1"/>
  <c r="Y20" i="2" s="1"/>
  <c r="Z20" i="2" s="1"/>
  <c r="K16" i="2"/>
  <c r="L16" i="2" s="1"/>
  <c r="R16" i="2" s="1"/>
  <c r="T16" i="2" s="1"/>
  <c r="Y16" i="2" s="1"/>
  <c r="Z16" i="2" s="1"/>
  <c r="K10" i="2"/>
  <c r="L10" i="2" s="1"/>
  <c r="R10" i="2" s="1"/>
  <c r="T10" i="2" s="1"/>
  <c r="Y10" i="2" s="1"/>
  <c r="Z10" i="2" s="1"/>
  <c r="I19" i="3"/>
  <c r="K21" i="2"/>
  <c r="L21" i="2" s="1"/>
  <c r="R21" i="2" s="1"/>
  <c r="T21" i="2" s="1"/>
  <c r="Y21" i="2" s="1"/>
  <c r="Z21" i="2" s="1"/>
  <c r="K18" i="2"/>
  <c r="L18" i="2" s="1"/>
  <c r="R18" i="2" s="1"/>
  <c r="T18" i="2" s="1"/>
  <c r="Y18" i="2" s="1"/>
  <c r="Z18" i="2" s="1"/>
  <c r="J23" i="3"/>
  <c r="I9" i="3"/>
  <c r="K3" i="2"/>
  <c r="L3" i="2" s="1"/>
  <c r="R3" i="2" s="1"/>
  <c r="T3" i="2" s="1"/>
  <c r="Y3" i="2" s="1"/>
  <c r="Z3" i="2" s="1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R2" i="2" l="1"/>
  <c r="E72" i="3"/>
  <c r="E62" i="3"/>
  <c r="E52" i="3"/>
  <c r="E42" i="3"/>
  <c r="E32" i="3"/>
  <c r="E74" i="3"/>
  <c r="E64" i="3"/>
  <c r="E54" i="3"/>
  <c r="E44" i="3"/>
  <c r="E34" i="3"/>
  <c r="E73" i="3"/>
  <c r="E63" i="3"/>
  <c r="E53" i="3"/>
  <c r="E43" i="3"/>
  <c r="E33" i="3"/>
  <c r="E71" i="3"/>
  <c r="E61" i="3"/>
  <c r="E51" i="3"/>
  <c r="E41" i="3"/>
  <c r="E31" i="3"/>
  <c r="E60" i="3"/>
  <c r="E69" i="3"/>
  <c r="E59" i="3"/>
  <c r="E49" i="3"/>
  <c r="E39" i="3"/>
  <c r="E29" i="3"/>
  <c r="E70" i="3"/>
  <c r="E50" i="3"/>
  <c r="E30" i="3"/>
  <c r="E78" i="3"/>
  <c r="E68" i="3"/>
  <c r="E58" i="3"/>
  <c r="E48" i="3"/>
  <c r="E38" i="3"/>
  <c r="E40" i="3"/>
  <c r="E77" i="3"/>
  <c r="E67" i="3"/>
  <c r="E57" i="3"/>
  <c r="E47" i="3"/>
  <c r="E37" i="3"/>
  <c r="E76" i="3"/>
  <c r="E66" i="3"/>
  <c r="E56" i="3"/>
  <c r="E46" i="3"/>
  <c r="E36" i="3"/>
  <c r="E75" i="3"/>
  <c r="E65" i="3"/>
  <c r="E55" i="3"/>
  <c r="E45" i="3"/>
  <c r="E35" i="3"/>
  <c r="G78" i="3"/>
  <c r="G68" i="3"/>
  <c r="G58" i="3"/>
  <c r="G48" i="3"/>
  <c r="G38" i="3"/>
  <c r="G77" i="3"/>
  <c r="G67" i="3"/>
  <c r="G57" i="3"/>
  <c r="G47" i="3"/>
  <c r="G37" i="3"/>
  <c r="G76" i="3"/>
  <c r="G66" i="3"/>
  <c r="G56" i="3"/>
  <c r="G46" i="3"/>
  <c r="G36" i="3"/>
  <c r="G75" i="3"/>
  <c r="G65" i="3"/>
  <c r="G55" i="3"/>
  <c r="G45" i="3"/>
  <c r="G35" i="3"/>
  <c r="G74" i="3"/>
  <c r="G64" i="3"/>
  <c r="G54" i="3"/>
  <c r="G44" i="3"/>
  <c r="G34" i="3"/>
  <c r="G73" i="3"/>
  <c r="G63" i="3"/>
  <c r="G53" i="3"/>
  <c r="G43" i="3"/>
  <c r="G33" i="3"/>
  <c r="G72" i="3"/>
  <c r="G62" i="3"/>
  <c r="G52" i="3"/>
  <c r="G42" i="3"/>
  <c r="G32" i="3"/>
  <c r="G71" i="3"/>
  <c r="G61" i="3"/>
  <c r="G51" i="3"/>
  <c r="G41" i="3"/>
  <c r="G31" i="3"/>
  <c r="G70" i="3"/>
  <c r="G60" i="3"/>
  <c r="G50" i="3"/>
  <c r="G40" i="3"/>
  <c r="G30" i="3"/>
  <c r="G69" i="3"/>
  <c r="G59" i="3"/>
  <c r="G49" i="3"/>
  <c r="G39" i="3"/>
  <c r="G29" i="3"/>
  <c r="D77" i="3"/>
  <c r="D67" i="3"/>
  <c r="D57" i="3"/>
  <c r="D47" i="3"/>
  <c r="D37" i="3"/>
  <c r="D76" i="3"/>
  <c r="D46" i="3"/>
  <c r="D56" i="3"/>
  <c r="D75" i="3"/>
  <c r="D65" i="3"/>
  <c r="D55" i="3"/>
  <c r="D45" i="3"/>
  <c r="D35" i="3"/>
  <c r="D74" i="3"/>
  <c r="D64" i="3"/>
  <c r="D54" i="3"/>
  <c r="D44" i="3"/>
  <c r="D34" i="3"/>
  <c r="D72" i="3"/>
  <c r="D62" i="3"/>
  <c r="D52" i="3"/>
  <c r="D42" i="3"/>
  <c r="D32" i="3"/>
  <c r="D66" i="3"/>
  <c r="D36" i="3"/>
  <c r="D73" i="3"/>
  <c r="D63" i="3"/>
  <c r="D53" i="3"/>
  <c r="D43" i="3"/>
  <c r="D33" i="3"/>
  <c r="D71" i="3"/>
  <c r="D61" i="3"/>
  <c r="D51" i="3"/>
  <c r="D41" i="3"/>
  <c r="D31" i="3"/>
  <c r="D78" i="3"/>
  <c r="D68" i="3"/>
  <c r="D58" i="3"/>
  <c r="D48" i="3"/>
  <c r="D38" i="3"/>
  <c r="D70" i="3"/>
  <c r="D60" i="3"/>
  <c r="D50" i="3"/>
  <c r="D40" i="3"/>
  <c r="D30" i="3"/>
  <c r="D69" i="3"/>
  <c r="D59" i="3"/>
  <c r="D49" i="3"/>
  <c r="D39" i="3"/>
  <c r="D29" i="3"/>
  <c r="Q19" i="2" l="1"/>
  <c r="S19" i="2" s="1"/>
  <c r="T2" i="2"/>
  <c r="W2" i="2" s="1"/>
  <c r="J56" i="3"/>
  <c r="J37" i="3"/>
  <c r="J76" i="3"/>
  <c r="J77" i="3"/>
  <c r="J57" i="3"/>
  <c r="J47" i="3"/>
  <c r="J67" i="3"/>
  <c r="J31" i="3"/>
  <c r="J32" i="3"/>
  <c r="J40" i="3"/>
  <c r="J55" i="3"/>
  <c r="K84" i="2"/>
  <c r="L84" i="2" s="1"/>
  <c r="R84" i="2" s="1"/>
  <c r="T84" i="2" s="1"/>
  <c r="Y84" i="2" s="1"/>
  <c r="Z84" i="2" s="1"/>
  <c r="K55" i="2"/>
  <c r="L55" i="2" s="1"/>
  <c r="R55" i="2" s="1"/>
  <c r="T55" i="2" s="1"/>
  <c r="Y55" i="2" s="1"/>
  <c r="Z55" i="2" s="1"/>
  <c r="K77" i="2"/>
  <c r="L77" i="2" s="1"/>
  <c r="R77" i="2" s="1"/>
  <c r="T77" i="2" s="1"/>
  <c r="Y77" i="2" s="1"/>
  <c r="Z77" i="2" s="1"/>
  <c r="K49" i="2"/>
  <c r="L49" i="2" s="1"/>
  <c r="R49" i="2" s="1"/>
  <c r="T49" i="2" s="1"/>
  <c r="Y49" i="2" s="1"/>
  <c r="Z49" i="2" s="1"/>
  <c r="K94" i="2"/>
  <c r="L94" i="2" s="1"/>
  <c r="R94" i="2" s="1"/>
  <c r="T94" i="2" s="1"/>
  <c r="Y94" i="2" s="1"/>
  <c r="Z94" i="2" s="1"/>
  <c r="K46" i="2"/>
  <c r="L46" i="2" s="1"/>
  <c r="R46" i="2" s="1"/>
  <c r="T46" i="2" s="1"/>
  <c r="Y46" i="2" s="1"/>
  <c r="Z46" i="2" s="1"/>
  <c r="K87" i="2"/>
  <c r="L87" i="2" s="1"/>
  <c r="R87" i="2" s="1"/>
  <c r="T87" i="2" s="1"/>
  <c r="Y87" i="2" s="1"/>
  <c r="Z87" i="2" s="1"/>
  <c r="K97" i="2"/>
  <c r="L97" i="2" s="1"/>
  <c r="R97" i="2" s="1"/>
  <c r="T97" i="2" s="1"/>
  <c r="Y97" i="2" s="1"/>
  <c r="Z97" i="2" s="1"/>
  <c r="K95" i="2"/>
  <c r="L95" i="2" s="1"/>
  <c r="R95" i="2" s="1"/>
  <c r="T95" i="2" s="1"/>
  <c r="Y95" i="2" s="1"/>
  <c r="Z95" i="2" s="1"/>
  <c r="K96" i="2"/>
  <c r="L96" i="2" s="1"/>
  <c r="R96" i="2" s="1"/>
  <c r="T96" i="2" s="1"/>
  <c r="Y96" i="2" s="1"/>
  <c r="Z96" i="2" s="1"/>
  <c r="K75" i="2"/>
  <c r="L75" i="2" s="1"/>
  <c r="R75" i="2" s="1"/>
  <c r="T75" i="2" s="1"/>
  <c r="Y75" i="2" s="1"/>
  <c r="Z75" i="2" s="1"/>
  <c r="K85" i="2"/>
  <c r="L85" i="2" s="1"/>
  <c r="R85" i="2" s="1"/>
  <c r="T85" i="2" s="1"/>
  <c r="Y85" i="2" s="1"/>
  <c r="Z85" i="2" s="1"/>
  <c r="K38" i="2"/>
  <c r="L38" i="2" s="1"/>
  <c r="R38" i="2" s="1"/>
  <c r="T38" i="2" s="1"/>
  <c r="Y38" i="2" s="1"/>
  <c r="Z38" i="2" s="1"/>
  <c r="K76" i="2"/>
  <c r="L76" i="2" s="1"/>
  <c r="R76" i="2" s="1"/>
  <c r="T76" i="2" s="1"/>
  <c r="Y76" i="2" s="1"/>
  <c r="Z76" i="2" s="1"/>
  <c r="K48" i="2"/>
  <c r="L48" i="2" s="1"/>
  <c r="R48" i="2" s="1"/>
  <c r="T48" i="2" s="1"/>
  <c r="Y48" i="2" s="1"/>
  <c r="Z48" i="2" s="1"/>
  <c r="K45" i="2"/>
  <c r="L45" i="2" s="1"/>
  <c r="R45" i="2" s="1"/>
  <c r="T45" i="2" s="1"/>
  <c r="Y45" i="2" s="1"/>
  <c r="Z45" i="2" s="1"/>
  <c r="K86" i="2"/>
  <c r="L86" i="2" s="1"/>
  <c r="R86" i="2" s="1"/>
  <c r="T86" i="2" s="1"/>
  <c r="Y86" i="2" s="1"/>
  <c r="Z86" i="2" s="1"/>
  <c r="J39" i="3"/>
  <c r="J63" i="3"/>
  <c r="K35" i="2"/>
  <c r="L35" i="2" s="1"/>
  <c r="R35" i="2" s="1"/>
  <c r="T35" i="2" s="1"/>
  <c r="Y35" i="2" s="1"/>
  <c r="Z35" i="2" s="1"/>
  <c r="I69" i="3"/>
  <c r="I61" i="3"/>
  <c r="I36" i="3"/>
  <c r="I62" i="3"/>
  <c r="K26" i="2"/>
  <c r="L26" i="2" s="1"/>
  <c r="R26" i="2" s="1"/>
  <c r="T26" i="2" s="1"/>
  <c r="Y26" i="2" s="1"/>
  <c r="Z26" i="2" s="1"/>
  <c r="K100" i="2"/>
  <c r="L100" i="2" s="1"/>
  <c r="R100" i="2" s="1"/>
  <c r="T100" i="2" s="1"/>
  <c r="Y100" i="2" s="1"/>
  <c r="Z100" i="2" s="1"/>
  <c r="K99" i="2"/>
  <c r="L99" i="2" s="1"/>
  <c r="R99" i="2" s="1"/>
  <c r="T99" i="2" s="1"/>
  <c r="Y99" i="2" s="1"/>
  <c r="Z99" i="2" s="1"/>
  <c r="I53" i="3"/>
  <c r="J54" i="3"/>
  <c r="K89" i="2"/>
  <c r="L89" i="2" s="1"/>
  <c r="R89" i="2" s="1"/>
  <c r="T89" i="2" s="1"/>
  <c r="Y89" i="2" s="1"/>
  <c r="Z89" i="2" s="1"/>
  <c r="I74" i="3"/>
  <c r="K88" i="2"/>
  <c r="L88" i="2" s="1"/>
  <c r="R88" i="2" s="1"/>
  <c r="T88" i="2" s="1"/>
  <c r="Y88" i="2" s="1"/>
  <c r="Z88" i="2" s="1"/>
  <c r="K83" i="2"/>
  <c r="L83" i="2" s="1"/>
  <c r="R83" i="2" s="1"/>
  <c r="T83" i="2" s="1"/>
  <c r="Y83" i="2" s="1"/>
  <c r="Z83" i="2" s="1"/>
  <c r="K93" i="2"/>
  <c r="L93" i="2" s="1"/>
  <c r="R93" i="2" s="1"/>
  <c r="T93" i="2" s="1"/>
  <c r="Y93" i="2" s="1"/>
  <c r="Z93" i="2" s="1"/>
  <c r="I38" i="3"/>
  <c r="J46" i="3"/>
  <c r="J30" i="3"/>
  <c r="J48" i="3"/>
  <c r="J41" i="3"/>
  <c r="I42" i="3"/>
  <c r="K78" i="2"/>
  <c r="L78" i="2" s="1"/>
  <c r="R78" i="2" s="1"/>
  <c r="T78" i="2" s="1"/>
  <c r="Y78" i="2" s="1"/>
  <c r="Z78" i="2" s="1"/>
  <c r="J50" i="3"/>
  <c r="K98" i="2"/>
  <c r="L98" i="2" s="1"/>
  <c r="R98" i="2" s="1"/>
  <c r="T98" i="2" s="1"/>
  <c r="Y98" i="2" s="1"/>
  <c r="Z98" i="2" s="1"/>
  <c r="K32" i="2"/>
  <c r="L32" i="2" s="1"/>
  <c r="R32" i="2" s="1"/>
  <c r="T32" i="2" s="1"/>
  <c r="Y32" i="2" s="1"/>
  <c r="Z32" i="2" s="1"/>
  <c r="K82" i="2"/>
  <c r="L82" i="2" s="1"/>
  <c r="R82" i="2" s="1"/>
  <c r="T82" i="2" s="1"/>
  <c r="Y82" i="2" s="1"/>
  <c r="Z82" i="2" s="1"/>
  <c r="I59" i="3"/>
  <c r="I43" i="3"/>
  <c r="I44" i="3"/>
  <c r="K79" i="2"/>
  <c r="L79" i="2" s="1"/>
  <c r="R79" i="2" s="1"/>
  <c r="T79" i="2" s="1"/>
  <c r="Y79" i="2" s="1"/>
  <c r="Z79" i="2" s="1"/>
  <c r="K92" i="2"/>
  <c r="L92" i="2" s="1"/>
  <c r="R92" i="2" s="1"/>
  <c r="T92" i="2" s="1"/>
  <c r="Y92" i="2" s="1"/>
  <c r="Z92" i="2" s="1"/>
  <c r="I58" i="3"/>
  <c r="K29" i="2"/>
  <c r="L29" i="2" s="1"/>
  <c r="R29" i="2" s="1"/>
  <c r="T29" i="2" s="1"/>
  <c r="Y29" i="2" s="1"/>
  <c r="Z29" i="2" s="1"/>
  <c r="I45" i="3"/>
  <c r="K61" i="2"/>
  <c r="L61" i="2" s="1"/>
  <c r="R61" i="2" s="1"/>
  <c r="T61" i="2" s="1"/>
  <c r="Y61" i="2" s="1"/>
  <c r="Z61" i="2" s="1"/>
  <c r="I70" i="3"/>
  <c r="J66" i="3"/>
  <c r="K36" i="2"/>
  <c r="L36" i="2" s="1"/>
  <c r="R36" i="2" s="1"/>
  <c r="T36" i="2" s="1"/>
  <c r="Y36" i="2" s="1"/>
  <c r="Z36" i="2" s="1"/>
  <c r="K80" i="2"/>
  <c r="L80" i="2" s="1"/>
  <c r="R80" i="2" s="1"/>
  <c r="T80" i="2" s="1"/>
  <c r="Y80" i="2" s="1"/>
  <c r="Z80" i="2" s="1"/>
  <c r="I64" i="3"/>
  <c r="K27" i="2"/>
  <c r="L27" i="2" s="1"/>
  <c r="R27" i="2" s="1"/>
  <c r="T27" i="2" s="1"/>
  <c r="Y27" i="2" s="1"/>
  <c r="Z27" i="2" s="1"/>
  <c r="K90" i="2"/>
  <c r="L90" i="2" s="1"/>
  <c r="R90" i="2" s="1"/>
  <c r="T90" i="2" s="1"/>
  <c r="Y90" i="2" s="1"/>
  <c r="Z90" i="2" s="1"/>
  <c r="J71" i="3"/>
  <c r="J72" i="3"/>
  <c r="J73" i="3"/>
  <c r="J60" i="3"/>
  <c r="J68" i="3"/>
  <c r="I29" i="3"/>
  <c r="I51" i="3"/>
  <c r="I52" i="3"/>
  <c r="K65" i="2"/>
  <c r="L65" i="2" s="1"/>
  <c r="R65" i="2" s="1"/>
  <c r="T65" i="2" s="1"/>
  <c r="Y65" i="2" s="1"/>
  <c r="Z65" i="2" s="1"/>
  <c r="K63" i="2"/>
  <c r="L63" i="2" s="1"/>
  <c r="R63" i="2" s="1"/>
  <c r="T63" i="2" s="1"/>
  <c r="Y63" i="2" s="1"/>
  <c r="Z63" i="2" s="1"/>
  <c r="K71" i="2"/>
  <c r="L71" i="2" s="1"/>
  <c r="R71" i="2" s="1"/>
  <c r="T71" i="2" s="1"/>
  <c r="Y71" i="2" s="1"/>
  <c r="Z71" i="2" s="1"/>
  <c r="K68" i="2"/>
  <c r="L68" i="2" s="1"/>
  <c r="R68" i="2" s="1"/>
  <c r="T68" i="2" s="1"/>
  <c r="Y68" i="2" s="1"/>
  <c r="Z68" i="2" s="1"/>
  <c r="K56" i="2"/>
  <c r="L56" i="2" s="1"/>
  <c r="R56" i="2" s="1"/>
  <c r="T56" i="2" s="1"/>
  <c r="Y56" i="2" s="1"/>
  <c r="Z56" i="2" s="1"/>
  <c r="K91" i="2"/>
  <c r="L91" i="2" s="1"/>
  <c r="R91" i="2" s="1"/>
  <c r="T91" i="2" s="1"/>
  <c r="Y91" i="2" s="1"/>
  <c r="Z91" i="2" s="1"/>
  <c r="K72" i="2"/>
  <c r="L72" i="2" s="1"/>
  <c r="R72" i="2" s="1"/>
  <c r="T72" i="2" s="1"/>
  <c r="Y72" i="2" s="1"/>
  <c r="Z72" i="2" s="1"/>
  <c r="K54" i="2"/>
  <c r="L54" i="2" s="1"/>
  <c r="R54" i="2" s="1"/>
  <c r="T54" i="2" s="1"/>
  <c r="Y54" i="2" s="1"/>
  <c r="Z54" i="2" s="1"/>
  <c r="K25" i="2"/>
  <c r="L25" i="2" s="1"/>
  <c r="R25" i="2" s="1"/>
  <c r="T25" i="2" s="1"/>
  <c r="Y25" i="2" s="1"/>
  <c r="Z25" i="2" s="1"/>
  <c r="K69" i="2"/>
  <c r="L69" i="2" s="1"/>
  <c r="R69" i="2" s="1"/>
  <c r="T69" i="2" s="1"/>
  <c r="Y69" i="2" s="1"/>
  <c r="Z69" i="2" s="1"/>
  <c r="K66" i="2"/>
  <c r="L66" i="2" s="1"/>
  <c r="R66" i="2" s="1"/>
  <c r="T66" i="2" s="1"/>
  <c r="Y66" i="2" s="1"/>
  <c r="Z66" i="2" s="1"/>
  <c r="K73" i="2"/>
  <c r="L73" i="2" s="1"/>
  <c r="R73" i="2" s="1"/>
  <c r="T73" i="2" s="1"/>
  <c r="Y73" i="2" s="1"/>
  <c r="Z73" i="2" s="1"/>
  <c r="K64" i="2"/>
  <c r="L64" i="2" s="1"/>
  <c r="R64" i="2" s="1"/>
  <c r="T64" i="2" s="1"/>
  <c r="Y64" i="2" s="1"/>
  <c r="Z64" i="2" s="1"/>
  <c r="I35" i="3"/>
  <c r="K57" i="2"/>
  <c r="L57" i="2" s="1"/>
  <c r="R57" i="2" s="1"/>
  <c r="T57" i="2" s="1"/>
  <c r="Y57" i="2" s="1"/>
  <c r="Z57" i="2" s="1"/>
  <c r="K70" i="2"/>
  <c r="L70" i="2" s="1"/>
  <c r="R70" i="2" s="1"/>
  <c r="T70" i="2" s="1"/>
  <c r="Y70" i="2" s="1"/>
  <c r="Z70" i="2" s="1"/>
  <c r="K67" i="2"/>
  <c r="L67" i="2" s="1"/>
  <c r="R67" i="2" s="1"/>
  <c r="T67" i="2" s="1"/>
  <c r="Y67" i="2" s="1"/>
  <c r="Z67" i="2" s="1"/>
  <c r="K58" i="2"/>
  <c r="L58" i="2" s="1"/>
  <c r="R58" i="2" s="1"/>
  <c r="T58" i="2" s="1"/>
  <c r="Y58" i="2" s="1"/>
  <c r="Z58" i="2" s="1"/>
  <c r="K52" i="2"/>
  <c r="L52" i="2" s="1"/>
  <c r="R52" i="2" s="1"/>
  <c r="T52" i="2" s="1"/>
  <c r="Y52" i="2" s="1"/>
  <c r="Z52" i="2" s="1"/>
  <c r="K62" i="2"/>
  <c r="L62" i="2" s="1"/>
  <c r="R62" i="2" s="1"/>
  <c r="T62" i="2" s="1"/>
  <c r="Y62" i="2" s="1"/>
  <c r="Z62" i="2" s="1"/>
  <c r="K59" i="2"/>
  <c r="L59" i="2" s="1"/>
  <c r="R59" i="2" s="1"/>
  <c r="T59" i="2" s="1"/>
  <c r="Y59" i="2" s="1"/>
  <c r="Z59" i="2" s="1"/>
  <c r="I75" i="3"/>
  <c r="K47" i="2"/>
  <c r="L47" i="2" s="1"/>
  <c r="R47" i="2" s="1"/>
  <c r="T47" i="2" s="1"/>
  <c r="Y47" i="2" s="1"/>
  <c r="Z47" i="2" s="1"/>
  <c r="K41" i="2"/>
  <c r="L41" i="2" s="1"/>
  <c r="R41" i="2" s="1"/>
  <c r="T41" i="2" s="1"/>
  <c r="Y41" i="2" s="1"/>
  <c r="Z41" i="2" s="1"/>
  <c r="K101" i="2"/>
  <c r="L101" i="2" s="1"/>
  <c r="R101" i="2" s="1"/>
  <c r="T101" i="2" s="1"/>
  <c r="Y101" i="2" s="1"/>
  <c r="Z101" i="2" s="1"/>
  <c r="K60" i="2"/>
  <c r="L60" i="2" s="1"/>
  <c r="R60" i="2" s="1"/>
  <c r="T60" i="2" s="1"/>
  <c r="Y60" i="2" s="1"/>
  <c r="Z60" i="2" s="1"/>
  <c r="K51" i="2"/>
  <c r="L51" i="2" s="1"/>
  <c r="R51" i="2" s="1"/>
  <c r="T51" i="2" s="1"/>
  <c r="Y51" i="2" s="1"/>
  <c r="Z51" i="2" s="1"/>
  <c r="K42" i="2"/>
  <c r="L42" i="2" s="1"/>
  <c r="R42" i="2" s="1"/>
  <c r="T42" i="2" s="1"/>
  <c r="Y42" i="2" s="1"/>
  <c r="Z42" i="2" s="1"/>
  <c r="K33" i="2"/>
  <c r="L33" i="2" s="1"/>
  <c r="R33" i="2" s="1"/>
  <c r="T33" i="2" s="1"/>
  <c r="Y33" i="2" s="1"/>
  <c r="Z33" i="2" s="1"/>
  <c r="K74" i="2"/>
  <c r="L74" i="2" s="1"/>
  <c r="R74" i="2" s="1"/>
  <c r="T74" i="2" s="1"/>
  <c r="Y74" i="2" s="1"/>
  <c r="Z74" i="2" s="1"/>
  <c r="K39" i="2"/>
  <c r="L39" i="2" s="1"/>
  <c r="R39" i="2" s="1"/>
  <c r="T39" i="2" s="1"/>
  <c r="Y39" i="2" s="1"/>
  <c r="Z39" i="2" s="1"/>
  <c r="K30" i="2"/>
  <c r="L30" i="2" s="1"/>
  <c r="R30" i="2" s="1"/>
  <c r="T30" i="2" s="1"/>
  <c r="Y30" i="2" s="1"/>
  <c r="Z30" i="2" s="1"/>
  <c r="K43" i="2"/>
  <c r="L43" i="2" s="1"/>
  <c r="R43" i="2" s="1"/>
  <c r="T43" i="2" s="1"/>
  <c r="Y43" i="2" s="1"/>
  <c r="Z43" i="2" s="1"/>
  <c r="K34" i="2"/>
  <c r="L34" i="2" s="1"/>
  <c r="R34" i="2" s="1"/>
  <c r="T34" i="2" s="1"/>
  <c r="Y34" i="2" s="1"/>
  <c r="Z34" i="2" s="1"/>
  <c r="K40" i="2"/>
  <c r="L40" i="2" s="1"/>
  <c r="R40" i="2" s="1"/>
  <c r="T40" i="2" s="1"/>
  <c r="Y40" i="2" s="1"/>
  <c r="Z40" i="2" s="1"/>
  <c r="K53" i="2"/>
  <c r="L53" i="2" s="1"/>
  <c r="R53" i="2" s="1"/>
  <c r="T53" i="2" s="1"/>
  <c r="Y53" i="2" s="1"/>
  <c r="Z53" i="2" s="1"/>
  <c r="K44" i="2"/>
  <c r="L44" i="2" s="1"/>
  <c r="R44" i="2" s="1"/>
  <c r="T44" i="2" s="1"/>
  <c r="Y44" i="2" s="1"/>
  <c r="Z44" i="2" s="1"/>
  <c r="K37" i="2"/>
  <c r="L37" i="2" s="1"/>
  <c r="R37" i="2" s="1"/>
  <c r="T37" i="2" s="1"/>
  <c r="Y37" i="2" s="1"/>
  <c r="Z37" i="2" s="1"/>
  <c r="K31" i="2"/>
  <c r="L31" i="2" s="1"/>
  <c r="R31" i="2" s="1"/>
  <c r="T31" i="2" s="1"/>
  <c r="Y31" i="2" s="1"/>
  <c r="Z31" i="2" s="1"/>
  <c r="K81" i="2"/>
  <c r="L81" i="2" s="1"/>
  <c r="R81" i="2" s="1"/>
  <c r="T81" i="2" s="1"/>
  <c r="Y81" i="2" s="1"/>
  <c r="Z81" i="2" s="1"/>
  <c r="K28" i="2"/>
  <c r="L28" i="2" s="1"/>
  <c r="R28" i="2" s="1"/>
  <c r="T28" i="2" s="1"/>
  <c r="Y28" i="2" s="1"/>
  <c r="Z28" i="2" s="1"/>
  <c r="K50" i="2"/>
  <c r="L50" i="2" s="1"/>
  <c r="R50" i="2" s="1"/>
  <c r="T50" i="2" s="1"/>
  <c r="Y50" i="2" s="1"/>
  <c r="Z50" i="2" s="1"/>
  <c r="I33" i="3"/>
  <c r="I34" i="3"/>
  <c r="I78" i="3"/>
  <c r="I49" i="3"/>
  <c r="J65" i="3"/>
  <c r="J74" i="3"/>
  <c r="I65" i="3"/>
  <c r="I46" i="3"/>
  <c r="I32" i="3"/>
  <c r="I67" i="3"/>
  <c r="J38" i="3"/>
  <c r="J49" i="3"/>
  <c r="I37" i="3"/>
  <c r="J45" i="3"/>
  <c r="J64" i="3"/>
  <c r="J52" i="3"/>
  <c r="I31" i="3"/>
  <c r="I47" i="3"/>
  <c r="I57" i="3"/>
  <c r="J35" i="3"/>
  <c r="J44" i="3"/>
  <c r="I56" i="3"/>
  <c r="J34" i="3"/>
  <c r="I63" i="3"/>
  <c r="I48" i="3"/>
  <c r="J75" i="3"/>
  <c r="I41" i="3"/>
  <c r="I60" i="3"/>
  <c r="J43" i="3"/>
  <c r="I55" i="3"/>
  <c r="J51" i="3"/>
  <c r="I66" i="3"/>
  <c r="I73" i="3"/>
  <c r="J58" i="3"/>
  <c r="I72" i="3"/>
  <c r="I71" i="3"/>
  <c r="J33" i="3"/>
  <c r="I76" i="3"/>
  <c r="I77" i="3"/>
  <c r="I68" i="3"/>
  <c r="J59" i="3"/>
  <c r="I30" i="3"/>
  <c r="I40" i="3"/>
  <c r="J69" i="3"/>
  <c r="I50" i="3"/>
  <c r="J62" i="3"/>
  <c r="J61" i="3"/>
  <c r="J36" i="3"/>
  <c r="J42" i="3"/>
  <c r="J70" i="3"/>
  <c r="J29" i="3"/>
  <c r="I54" i="3"/>
  <c r="J53" i="3"/>
  <c r="J78" i="3"/>
  <c r="I39" i="3"/>
  <c r="Q22" i="2" l="1"/>
  <c r="S22" i="2" s="1"/>
  <c r="Q23" i="2"/>
  <c r="S23" i="2" s="1"/>
  <c r="Q20" i="2"/>
  <c r="S20" i="2" s="1"/>
  <c r="Q21" i="2"/>
  <c r="S21" i="2" s="1"/>
  <c r="Q24" i="2"/>
  <c r="S24" i="2" s="1"/>
  <c r="Q9" i="2"/>
  <c r="S9" i="2" s="1"/>
  <c r="Q11" i="2"/>
  <c r="S11" i="2" s="1"/>
  <c r="Q14" i="2"/>
  <c r="S14" i="2" s="1"/>
  <c r="Q12" i="2"/>
  <c r="S12" i="2" s="1"/>
  <c r="Q13" i="2"/>
  <c r="S13" i="2" s="1"/>
  <c r="Q10" i="2"/>
  <c r="S10" i="2" s="1"/>
  <c r="Q7" i="2"/>
  <c r="S7" i="2" s="1"/>
  <c r="Q18" i="2"/>
  <c r="S18" i="2" s="1"/>
  <c r="Q15" i="2"/>
  <c r="S15" i="2" s="1"/>
  <c r="Q2" i="2"/>
  <c r="S2" i="2" s="1"/>
  <c r="Y2" i="2"/>
  <c r="Z2" i="2" s="1"/>
  <c r="Q34" i="2"/>
  <c r="S34" i="2" s="1"/>
  <c r="Q41" i="2"/>
  <c r="S41" i="2" s="1"/>
  <c r="Q56" i="2"/>
  <c r="S56" i="2" s="1"/>
  <c r="Q92" i="2"/>
  <c r="S92" i="2" s="1"/>
  <c r="Q89" i="2"/>
  <c r="S89" i="2" s="1"/>
  <c r="Q35" i="2"/>
  <c r="S35" i="2" s="1"/>
  <c r="Q96" i="2"/>
  <c r="S96" i="2" s="1"/>
  <c r="Q95" i="2"/>
  <c r="S95" i="2" s="1"/>
  <c r="Q64" i="2"/>
  <c r="S64" i="2" s="1"/>
  <c r="Q50" i="2"/>
  <c r="S50" i="2" s="1"/>
  <c r="Q30" i="2"/>
  <c r="S30" i="2" s="1"/>
  <c r="Q73" i="2"/>
  <c r="S73" i="2" s="1"/>
  <c r="Q71" i="2"/>
  <c r="S71" i="2" s="1"/>
  <c r="Q80" i="2"/>
  <c r="S80" i="2" s="1"/>
  <c r="Q97" i="2"/>
  <c r="S97" i="2" s="1"/>
  <c r="Q43" i="2"/>
  <c r="S43" i="2" s="1"/>
  <c r="Q99" i="2"/>
  <c r="S99" i="2" s="1"/>
  <c r="Q86" i="2"/>
  <c r="S86" i="2" s="1"/>
  <c r="Q87" i="2"/>
  <c r="S87" i="2" s="1"/>
  <c r="Q36" i="2"/>
  <c r="S36" i="2" s="1"/>
  <c r="Q81" i="2"/>
  <c r="S81" i="2" s="1"/>
  <c r="Q74" i="2"/>
  <c r="S74" i="2" s="1"/>
  <c r="Q62" i="2"/>
  <c r="S62" i="2" s="1"/>
  <c r="Q69" i="2"/>
  <c r="S69" i="2" s="1"/>
  <c r="Q65" i="2"/>
  <c r="S65" i="2" s="1"/>
  <c r="Q100" i="2"/>
  <c r="S100" i="2" s="1"/>
  <c r="Q45" i="2"/>
  <c r="S45" i="2" s="1"/>
  <c r="Q46" i="2"/>
  <c r="S46" i="2" s="1"/>
  <c r="Q39" i="2"/>
  <c r="S39" i="2" s="1"/>
  <c r="Q31" i="2"/>
  <c r="S31" i="2" s="1"/>
  <c r="Q33" i="2"/>
  <c r="S33" i="2" s="1"/>
  <c r="Q52" i="2"/>
  <c r="S52" i="2" s="1"/>
  <c r="Q82" i="2"/>
  <c r="S82" i="2" s="1"/>
  <c r="Q48" i="2"/>
  <c r="S48" i="2" s="1"/>
  <c r="Q94" i="2"/>
  <c r="S94" i="2" s="1"/>
  <c r="Q79" i="2"/>
  <c r="S79" i="2" s="1"/>
  <c r="Q59" i="2"/>
  <c r="S59" i="2" s="1"/>
  <c r="Q63" i="2"/>
  <c r="S63" i="2" s="1"/>
  <c r="Q37" i="2"/>
  <c r="S37" i="2" s="1"/>
  <c r="Q42" i="2"/>
  <c r="S42" i="2" s="1"/>
  <c r="Q58" i="2"/>
  <c r="S58" i="2" s="1"/>
  <c r="Q61" i="2"/>
  <c r="S61" i="2" s="1"/>
  <c r="Q32" i="2"/>
  <c r="S32" i="2" s="1"/>
  <c r="Q93" i="2"/>
  <c r="S93" i="2" s="1"/>
  <c r="Q76" i="2"/>
  <c r="S76" i="2" s="1"/>
  <c r="Q47" i="2"/>
  <c r="S47" i="2" s="1"/>
  <c r="Q44" i="2"/>
  <c r="S44" i="2" s="1"/>
  <c r="Q51" i="2"/>
  <c r="S51" i="2" s="1"/>
  <c r="Q67" i="2"/>
  <c r="S67" i="2" s="1"/>
  <c r="Q83" i="2"/>
  <c r="S83" i="2" s="1"/>
  <c r="Q38" i="2"/>
  <c r="S38" i="2" s="1"/>
  <c r="Q77" i="2"/>
  <c r="S77" i="2" s="1"/>
  <c r="Q54" i="2"/>
  <c r="S54" i="2" s="1"/>
  <c r="Q98" i="2"/>
  <c r="S98" i="2" s="1"/>
  <c r="Q53" i="2"/>
  <c r="S53" i="2" s="1"/>
  <c r="Q60" i="2"/>
  <c r="S60" i="2" s="1"/>
  <c r="Q70" i="2"/>
  <c r="S70" i="2" s="1"/>
  <c r="Q72" i="2"/>
  <c r="S72" i="2" s="1"/>
  <c r="Q88" i="2"/>
  <c r="S88" i="2" s="1"/>
  <c r="Q85" i="2"/>
  <c r="S85" i="2" s="1"/>
  <c r="Q68" i="2"/>
  <c r="S68" i="2" s="1"/>
  <c r="Q66" i="2"/>
  <c r="S66" i="2" s="1"/>
  <c r="Q40" i="2"/>
  <c r="S40" i="2" s="1"/>
  <c r="Q101" i="2"/>
  <c r="S101" i="2" s="1"/>
  <c r="Q57" i="2"/>
  <c r="S57" i="2" s="1"/>
  <c r="Q91" i="2"/>
  <c r="S91" i="2" s="1"/>
  <c r="Q90" i="2"/>
  <c r="S90" i="2" s="1"/>
  <c r="Q78" i="2"/>
  <c r="S78" i="2" s="1"/>
  <c r="Q75" i="2"/>
  <c r="S75" i="2" s="1"/>
  <c r="Q84" i="2"/>
  <c r="S84" i="2" s="1"/>
  <c r="Q8" i="2" l="1"/>
  <c r="S8" i="2" s="1"/>
  <c r="Q49" i="2"/>
  <c r="S49" i="2" s="1"/>
  <c r="Q55" i="2"/>
  <c r="S55" i="2" s="1"/>
  <c r="Q5" i="2"/>
  <c r="S5" i="2" s="1"/>
  <c r="Q3" i="2"/>
  <c r="S3" i="2" s="1"/>
  <c r="Q29" i="2"/>
  <c r="S29" i="2" s="1"/>
  <c r="Q17" i="2"/>
  <c r="S17" i="2" s="1"/>
  <c r="Q27" i="2"/>
  <c r="S27" i="2" s="1"/>
  <c r="Q4" i="2"/>
  <c r="S4" i="2" s="1"/>
  <c r="Q6" i="2"/>
  <c r="S6" i="2" s="1"/>
  <c r="Q26" i="2"/>
  <c r="S26" i="2" s="1"/>
  <c r="Q25" i="2"/>
  <c r="S25" i="2" s="1"/>
  <c r="Q28" i="2"/>
  <c r="S28" i="2" s="1"/>
  <c r="Q16" i="2"/>
  <c r="S16" i="2" s="1"/>
</calcChain>
</file>

<file path=xl/sharedStrings.xml><?xml version="1.0" encoding="utf-8"?>
<sst xmlns="http://schemas.openxmlformats.org/spreadsheetml/2006/main" count="37" uniqueCount="36">
  <si>
    <t>r</t>
  </si>
  <si>
    <t>L</t>
  </si>
  <si>
    <t>A</t>
  </si>
  <si>
    <t>e</t>
  </si>
  <si>
    <t>Angle</t>
  </si>
  <si>
    <t>Angle (rad)</t>
  </si>
  <si>
    <t>omega</t>
  </si>
  <si>
    <t>Slider Velocity</t>
  </si>
  <si>
    <t>Slider Acceleration</t>
  </si>
  <si>
    <t>Power</t>
  </si>
  <si>
    <t>Beta</t>
  </si>
  <si>
    <t>Density</t>
  </si>
  <si>
    <t>F_PB</t>
  </si>
  <si>
    <t>W_motor</t>
  </si>
  <si>
    <t>ac_rad</t>
  </si>
  <si>
    <t>m_crank</t>
  </si>
  <si>
    <t>m_link</t>
  </si>
  <si>
    <t>m_tot</t>
  </si>
  <si>
    <t>m_slid</t>
  </si>
  <si>
    <t>slider_y</t>
  </si>
  <si>
    <t>a_cl</t>
  </si>
  <si>
    <t>cross_area</t>
  </si>
  <si>
    <t>offset_e</t>
  </si>
  <si>
    <t>R</t>
  </si>
  <si>
    <t>s_omega</t>
  </si>
  <si>
    <t>s_alpha</t>
  </si>
  <si>
    <t>Fx_s</t>
  </si>
  <si>
    <t>s_inertia</t>
  </si>
  <si>
    <t>Ftotal_s</t>
  </si>
  <si>
    <t>F_cl</t>
  </si>
  <si>
    <t>Fx_cl</t>
  </si>
  <si>
    <t>Fy_cl</t>
  </si>
  <si>
    <t>Ftan_c</t>
  </si>
  <si>
    <t>c_inertia</t>
  </si>
  <si>
    <t>Torque</t>
  </si>
  <si>
    <t>QRR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</si>
</sst>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"/>
    <numFmt numFmtId="166" formatCode="0.000000"/>
  </numFmts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11" fontId="0" fillId="0" borderId="0" xfId="0" applyNumberFormat="1"/>
    <xf numFmtId="0" fontId="1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/>
    </xf>
    <xf numFmtId="164" fontId="3" fillId="0" borderId="0" xfId="0" applyNumberFormat="1" applyFont="1"/>
    <xf numFmtId="2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BFFA8"/>
      <color rgb="FFFF94C1"/>
      <color rgb="FFEB84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14FDF-CE64-4048-A8B4-7032B403BE32}">
  <dimension ref="A1:AC111"/>
  <sheetViews>
    <sheetView tabSelected="1" zoomScale="91" workbookViewId="0">
      <selection activeCell="U13" sqref="U13"/>
    </sheetView>
  </sheetViews>
  <sheetFormatPr baseColWidth="10" defaultRowHeight="16" x14ac:dyDescent="0.2"/>
  <cols>
    <col min="2" max="2" width="16.33203125" customWidth="1"/>
    <col min="3" max="3" width="15.6640625" customWidth="1"/>
    <col min="4" max="7" width="11" bestFit="1" customWidth="1"/>
    <col min="8" max="8" width="13.6640625" customWidth="1"/>
    <col min="9" max="10" width="11" bestFit="1" customWidth="1"/>
    <col min="11" max="11" width="13.5" customWidth="1"/>
    <col min="12" max="12" width="11.1640625" bestFit="1" customWidth="1"/>
    <col min="13" max="13" width="17.33203125" customWidth="1"/>
    <col min="14" max="14" width="21.33203125" customWidth="1"/>
    <col min="15" max="15" width="11" bestFit="1" customWidth="1"/>
    <col min="16" max="18" width="13.5" customWidth="1"/>
    <col min="19" max="19" width="12.6640625" bestFit="1" customWidth="1"/>
    <col min="20" max="20" width="21.5" customWidth="1"/>
    <col min="21" max="21" width="25.33203125" customWidth="1"/>
    <col min="22" max="22" width="11" bestFit="1" customWidth="1"/>
    <col min="23" max="23" width="11" customWidth="1"/>
    <col min="24" max="24" width="11" bestFit="1" customWidth="1"/>
  </cols>
  <sheetData>
    <row r="1" spans="1:29" s="5" customFormat="1" ht="15" x14ac:dyDescent="0.15">
      <c r="A1" s="5" t="s">
        <v>12</v>
      </c>
      <c r="B1" s="5" t="s">
        <v>11</v>
      </c>
      <c r="C1" s="9" t="s">
        <v>13</v>
      </c>
      <c r="D1" s="9" t="s">
        <v>23</v>
      </c>
      <c r="E1" s="9" t="s">
        <v>1</v>
      </c>
      <c r="F1" s="9" t="s">
        <v>22</v>
      </c>
      <c r="G1" s="9" t="s">
        <v>21</v>
      </c>
      <c r="H1" s="9" t="s">
        <v>14</v>
      </c>
      <c r="I1" s="9" t="s">
        <v>15</v>
      </c>
      <c r="J1" s="9" t="s">
        <v>16</v>
      </c>
      <c r="K1" s="9" t="s">
        <v>17</v>
      </c>
      <c r="L1" s="9" t="s">
        <v>18</v>
      </c>
      <c r="M1" s="9" t="s">
        <v>19</v>
      </c>
      <c r="N1" s="10" t="s">
        <v>20</v>
      </c>
      <c r="O1" s="10" t="s">
        <v>24</v>
      </c>
      <c r="P1" s="10" t="s">
        <v>25</v>
      </c>
      <c r="Q1" s="10" t="s">
        <v>26</v>
      </c>
      <c r="R1" s="10" t="s">
        <v>27</v>
      </c>
      <c r="S1" s="10" t="s">
        <v>28</v>
      </c>
      <c r="T1" s="10" t="s">
        <v>29</v>
      </c>
      <c r="U1" s="10" t="s">
        <v>30</v>
      </c>
      <c r="V1" s="10" t="s">
        <v>31</v>
      </c>
      <c r="W1" s="10" t="s">
        <v>32</v>
      </c>
      <c r="X1" s="10" t="s">
        <v>33</v>
      </c>
      <c r="Y1" s="10" t="s">
        <v>34</v>
      </c>
      <c r="Z1" s="10" t="s">
        <v>9</v>
      </c>
      <c r="AA1" s="10" t="s">
        <v>10</v>
      </c>
      <c r="AB1" s="10" t="s">
        <v>35</v>
      </c>
      <c r="AC1" s="6"/>
    </row>
    <row r="2" spans="1:29" s="5" customFormat="1" ht="14" x14ac:dyDescent="0.15">
      <c r="A2" s="5">
        <v>110</v>
      </c>
      <c r="B2" s="5">
        <v>2700</v>
      </c>
      <c r="C2" s="5">
        <f>(2*PI()*30/60)</f>
        <v>3.1415926535897927</v>
      </c>
      <c r="D2" s="7">
        <v>0.15945528497463496</v>
      </c>
      <c r="E2" s="7">
        <v>0.62184287863007071</v>
      </c>
      <c r="F2" s="7">
        <v>5.1221836011997979E-2</v>
      </c>
      <c r="G2" s="7">
        <v>3.4276701943697824E-4</v>
      </c>
      <c r="H2" s="6">
        <v>1.1019361518354511</v>
      </c>
      <c r="I2" s="8">
        <f>$G2*$D2*$B2</f>
        <v>0.14757123446341994</v>
      </c>
      <c r="J2" s="8">
        <f>$E2*$G2*$B2</f>
        <v>0.57549752117857789</v>
      </c>
      <c r="K2" s="8">
        <f>$I2+$J2</f>
        <v>0.7230687556419978</v>
      </c>
      <c r="L2" s="8">
        <f>0.2*$K2</f>
        <v>0.14461375112839955</v>
      </c>
      <c r="M2" s="11">
        <f>$D2*SIN($H2)+SQRT($E2^2-($D2*COS($H2)-$F2^2))</f>
        <v>0.7055051817546879</v>
      </c>
      <c r="N2" s="11">
        <f>ATAN($M2+$F2-$D2*SIN($H2))</f>
        <v>0.55099823331346809</v>
      </c>
      <c r="O2" s="5">
        <f>($D2*$C2*COS($H2))+($D2*C2*($F2+$D2*COS($H2))*SIN($H2))/(SQRT($E2^2-($F2+$D2*COS($H2)^2)))</f>
        <v>0.32645650701008166</v>
      </c>
      <c r="P2" s="5">
        <f>(-$D2*$C2^2*SIN($H2))+(-$D2*$C2^2*($F2+$D2*COS($H2))*COS($H2)+$D2^2*C2^2*(SIN($H2))^2)/SQRT($E2^2-($F2+$D2*COS($H2))^2)+($D2^2*C2^2*($F2+$D2*COS($H2))^2*(SIN($H2))^2)/($E2^2-($F2+$D2*COS($H2))^2)^3/2</f>
        <v>-1.1905062839002629</v>
      </c>
      <c r="Q2" s="5">
        <f>$T2*COS($N2)</f>
        <v>109.82783642054325</v>
      </c>
      <c r="R2" s="12">
        <f>$L2*$P2</f>
        <v>-0.1721635794567484</v>
      </c>
      <c r="S2" s="12">
        <f>$Q2+$R2</f>
        <v>109.6556728410865</v>
      </c>
      <c r="T2" s="12">
        <f>($R2+$A2)/COS($N2)</f>
        <v>128.90555822600456</v>
      </c>
      <c r="U2" s="12">
        <f>-($I2)*(C2^2)*$D2*COS($H2)</f>
        <v>-0.10494304265693861</v>
      </c>
      <c r="V2" s="12">
        <f>-($I2)*(C2^2)*$D2*SIN($H2)</f>
        <v>-0.20717916810764073</v>
      </c>
      <c r="W2" s="12">
        <f>$T2*SIN($H2+$N2)</f>
        <v>128.47096162075437</v>
      </c>
      <c r="X2" s="12">
        <f>$I2*(C2^2)*$D2</f>
        <v>0.23224179188912167</v>
      </c>
      <c r="Y2" s="5">
        <f>$W2*$D2</f>
        <v>20.485373796202779</v>
      </c>
      <c r="Z2" s="5">
        <f>$Y2*C2</f>
        <v>64.356699824191494</v>
      </c>
      <c r="AA2" s="13">
        <f t="shared" ref="AA2:AA33" si="0">ASIN($F2/$D2)</f>
        <v>0.32702813658891794</v>
      </c>
      <c r="AB2" s="5">
        <f t="shared" ref="AB2:AB33" si="1">(PI()+2*$AA2)/(PI()-2*$AA2)</f>
        <v>1.5258666995411085</v>
      </c>
    </row>
    <row r="3" spans="1:29" s="5" customFormat="1" ht="14" x14ac:dyDescent="0.15">
      <c r="A3" s="5">
        <v>110</v>
      </c>
      <c r="B3" s="5">
        <v>2700</v>
      </c>
      <c r="C3" s="5">
        <f t="shared" ref="C3:C66" si="2">(2*PI()*30/60)</f>
        <v>3.1415926535897927</v>
      </c>
      <c r="D3" s="7">
        <v>0.11711133052761859</v>
      </c>
      <c r="E3" s="7">
        <v>0.69968302349985634</v>
      </c>
      <c r="F3" s="7">
        <v>0.10116627667860333</v>
      </c>
      <c r="G3" s="7">
        <v>4.3277098956565177E-4</v>
      </c>
      <c r="H3" s="6">
        <v>1.1692995882295725</v>
      </c>
      <c r="I3" s="8">
        <f t="shared" ref="I3:I66" si="3">$G3*$D3*$B3</f>
        <v>0.13684244328482659</v>
      </c>
      <c r="J3" s="8">
        <f t="shared" ref="J3:J66" si="4">$E3*$G3*$B3</f>
        <v>0.81756678904826396</v>
      </c>
      <c r="K3" s="8">
        <f t="shared" ref="K3:K66" si="5">$I3+$J3</f>
        <v>0.95440923233309061</v>
      </c>
      <c r="L3" s="8">
        <f t="shared" ref="L3:L66" si="6">0.2*$K3</f>
        <v>0.19088184646661813</v>
      </c>
      <c r="M3" s="11">
        <f t="shared" ref="M3:M66" si="7">$D3*SIN($H3)+SQRT($E3^2-($D3*COS($H3)-$F3^2))</f>
        <v>0.78161151566879439</v>
      </c>
      <c r="N3" s="11">
        <f>ATAN($M3+$F3-$D3*SIN($H3))</f>
        <v>0.65929725686733476</v>
      </c>
      <c r="O3" s="5">
        <f>($D3*$C3*COS($H3))+($D3*C3*($F3+$D3*COS($H3))*SIN($H3))/(SQRT($E3^2-($F3+$D3*COS($H3)^2)))</f>
        <v>0.22552965899675084</v>
      </c>
      <c r="P3" s="5">
        <f>(-$D3*$C3^2*SIN($H3))+(-$D3*$C3^2*($F3+$D3*COS($H3))*COS($H3)+$D3^2*C3^2*(SIN($H3))^2)/SQRT($E3^2-($F3+$D3*COS($H3))^2)+($D3^2*C3^2*($F3+$D3*COS($H3))^2*(SIN($H3))^2)/($E3^2-($F3+$D3*COS($H3))^2)^3/2</f>
        <v>-0.98121117719007911</v>
      </c>
      <c r="Q3" s="5">
        <f t="shared" ref="Q3:Q66" si="8">$T3*COS($N3)</f>
        <v>109.81270459872427</v>
      </c>
      <c r="R3" s="12">
        <f t="shared" ref="R3:R66" si="9">$L3*$P3</f>
        <v>-0.1872954012757263</v>
      </c>
      <c r="S3" s="12">
        <f t="shared" ref="S3:S66" si="10">$Q3+$R3</f>
        <v>109.62540919744853</v>
      </c>
      <c r="T3" s="12">
        <f>($R3+$A3)/COS($N3)</f>
        <v>138.92905252570264</v>
      </c>
      <c r="U3" s="12">
        <f>-($I3)*(C3^2)*$D3*COS($H3)</f>
        <v>-6.1811621725065137E-2</v>
      </c>
      <c r="V3" s="12">
        <f>-($I3)*(C3^2)*$D3*SIN(H3)</f>
        <v>-0.14559031011900014</v>
      </c>
      <c r="W3" s="12">
        <f>$T3*SIN($H3+$N3)</f>
        <v>134.33787580893031</v>
      </c>
      <c r="X3" s="12">
        <f>$I3*(C3^2)*$D3</f>
        <v>0.15816831218935473</v>
      </c>
      <c r="Y3" s="5">
        <f>$W3*$D3</f>
        <v>15.732487376237815</v>
      </c>
      <c r="Z3" s="5">
        <f>$Y3*C3</f>
        <v>49.425066763882874</v>
      </c>
      <c r="AA3" s="13">
        <f t="shared" si="0"/>
        <v>1.0428571329427976</v>
      </c>
      <c r="AB3" s="5">
        <f t="shared" si="1"/>
        <v>4.9506713844585359</v>
      </c>
    </row>
    <row r="4" spans="1:29" s="5" customFormat="1" ht="14" x14ac:dyDescent="0.15">
      <c r="A4" s="5">
        <v>110</v>
      </c>
      <c r="B4" s="5">
        <v>2700</v>
      </c>
      <c r="C4" s="5">
        <f t="shared" si="2"/>
        <v>3.1415926535897927</v>
      </c>
      <c r="D4" s="7">
        <v>0.14054619238291505</v>
      </c>
      <c r="E4" s="7">
        <v>0.62966222900890778</v>
      </c>
      <c r="F4" s="7">
        <v>5.0861790892954742E-2</v>
      </c>
      <c r="G4" s="7">
        <v>4.9497578723688661E-4</v>
      </c>
      <c r="H4" s="6">
        <v>0.32833879550866041</v>
      </c>
      <c r="I4" s="8">
        <f t="shared" si="3"/>
        <v>0.18783079798827679</v>
      </c>
      <c r="J4" s="8">
        <f t="shared" si="4"/>
        <v>0.84150240524194575</v>
      </c>
      <c r="K4" s="8">
        <f t="shared" si="5"/>
        <v>1.0293332032302225</v>
      </c>
      <c r="L4" s="8">
        <f t="shared" si="6"/>
        <v>0.20586664064604451</v>
      </c>
      <c r="M4" s="11">
        <f t="shared" si="7"/>
        <v>0.56109656088480953</v>
      </c>
      <c r="N4" s="11">
        <f>ATAN($M4+$F4-$D4*SIN($H4))</f>
        <v>0.51552600545320892</v>
      </c>
      <c r="O4" s="5">
        <f>($D4*$C4*COS($H4))+($D4*C4*($F4+$D4*COS($H4))*SIN($H4))/(SQRT($E4^2-($F4+$D4*COS($H4)^2)))</f>
        <v>0.47381716842022253</v>
      </c>
      <c r="P4" s="5">
        <f>(-$D4*$C4^2*SIN($H4))+(-$D4*$C4^2*($F4+$D4*COS($H4))*COS($H4)+$D4^2*C4^2*(SIN($H4))^2)/SQRT($E4^2-($F4+$D4*COS($H4))^2)+($D4^2*C4^2*($F4+$D4*COS($H4))^2*(SIN($H4))^2)/($E4^2-($F4+$D4*COS($H4))^2)^3/2</f>
        <v>-0.80742762541073976</v>
      </c>
      <c r="Q4" s="5">
        <f t="shared" si="8"/>
        <v>109.83377758719188</v>
      </c>
      <c r="R4" s="12">
        <f t="shared" si="9"/>
        <v>-0.16622241280812181</v>
      </c>
      <c r="S4" s="12">
        <f t="shared" si="10"/>
        <v>109.66755517438375</v>
      </c>
      <c r="T4" s="12">
        <f>($R4+$A4)/COS($N4)</f>
        <v>126.24085660839334</v>
      </c>
      <c r="U4" s="12">
        <f t="shared" ref="U4:U67" si="11">-($I4)*(C4^2)*$D4*COS($H4)</f>
        <v>-0.24662815529542903</v>
      </c>
      <c r="V4" s="12">
        <f t="shared" ref="V4:V67" si="12">-($I4)*(C4^2)*$D4*SIN(H4)</f>
        <v>-8.4018768998738599E-2</v>
      </c>
      <c r="W4" s="12">
        <f t="shared" ref="W4:W67" si="13">$T4*SIN($H4+$N4)</f>
        <v>94.329334764568785</v>
      </c>
      <c r="X4" s="12">
        <f>$I4*(C4^2)*$D4</f>
        <v>0.26054673386647864</v>
      </c>
      <c r="Y4" s="5">
        <f>$W4*$D4</f>
        <v>13.257628831173481</v>
      </c>
      <c r="Z4" s="5">
        <f>$Y4*C4</f>
        <v>41.65006934003484</v>
      </c>
      <c r="AA4" s="13">
        <f t="shared" si="0"/>
        <v>0.37029092194945273</v>
      </c>
      <c r="AB4" s="5">
        <f t="shared" si="1"/>
        <v>1.6168917198621442</v>
      </c>
    </row>
    <row r="5" spans="1:29" s="5" customFormat="1" ht="14" x14ac:dyDescent="0.15">
      <c r="A5" s="5">
        <v>110</v>
      </c>
      <c r="B5" s="5">
        <v>2700</v>
      </c>
      <c r="C5" s="5">
        <f t="shared" si="2"/>
        <v>3.1415926535897927</v>
      </c>
      <c r="D5" s="7">
        <v>0.15734300691542832</v>
      </c>
      <c r="E5" s="7">
        <v>0.79099363656320154</v>
      </c>
      <c r="F5" s="7">
        <v>8.8770453353402196E-2</v>
      </c>
      <c r="G5" s="7">
        <v>2.0359828638312998E-4</v>
      </c>
      <c r="H5" s="6">
        <v>1.0370788389756866</v>
      </c>
      <c r="I5" s="8">
        <f t="shared" si="3"/>
        <v>8.6493869772345466E-2</v>
      </c>
      <c r="J5" s="8">
        <f t="shared" si="4"/>
        <v>0.43482136214941597</v>
      </c>
      <c r="K5" s="8">
        <f t="shared" si="5"/>
        <v>0.52131523192176143</v>
      </c>
      <c r="L5" s="8">
        <f t="shared" si="6"/>
        <v>0.1042630463843523</v>
      </c>
      <c r="M5" s="11">
        <f t="shared" si="7"/>
        <v>0.87943910191207397</v>
      </c>
      <c r="N5" s="11">
        <f>ATAN($M5+$F5-$D5*SIN($H5))</f>
        <v>0.69439363800108533</v>
      </c>
      <c r="O5" s="5">
        <f>($D5*$C5*COS($H5))+($D5*C5*($F5+$D5*COS($H5))*SIN($H5))/(SQRT($E5^2-($F5+$D5*COS($H5)^2)))</f>
        <v>0.35346277052425928</v>
      </c>
      <c r="P5" s="5">
        <f>(-$D5*$C5^2*SIN($H5))+(-$D5*$C5^2*($F5+$D5*COS($H5))*COS($H5)+$D5^2*C5^2*(SIN($H5))^2)/SQRT($E5^2-($F5+$D5*COS($H5))^2)+($D5^2*C5^2*($F5+$D5*COS($H5))^2*(SIN($H5))^2)/($E5^2-($F5+$D5*COS($H5))^2)^3/2</f>
        <v>-1.2630514119812917</v>
      </c>
      <c r="Q5" s="5">
        <f t="shared" si="8"/>
        <v>109.86831041204675</v>
      </c>
      <c r="R5" s="12">
        <f t="shared" si="9"/>
        <v>-0.13168958795322708</v>
      </c>
      <c r="S5" s="12">
        <f t="shared" si="10"/>
        <v>109.73662082409352</v>
      </c>
      <c r="T5" s="12">
        <f>($R5+$A5)/COS($N5)</f>
        <v>142.97543545973906</v>
      </c>
      <c r="U5" s="12">
        <f t="shared" si="11"/>
        <v>-6.833231164157115E-2</v>
      </c>
      <c r="V5" s="12">
        <f t="shared" si="12"/>
        <v>-0.11563684219629641</v>
      </c>
      <c r="W5" s="12">
        <f t="shared" si="13"/>
        <v>141.1338167265495</v>
      </c>
      <c r="X5" s="12">
        <f>$I5*(C5^2)*$D5</f>
        <v>0.13431747498896768</v>
      </c>
      <c r="Y5" s="5">
        <f>$W5*$D5</f>
        <v>22.206419101206272</v>
      </c>
      <c r="Z5" s="5">
        <f>$Y5*C5</f>
        <v>69.763523110885671</v>
      </c>
      <c r="AA5" s="13">
        <f t="shared" si="0"/>
        <v>0.59944496284669868</v>
      </c>
      <c r="AB5" s="5">
        <f t="shared" si="1"/>
        <v>2.2342494901333496</v>
      </c>
    </row>
    <row r="6" spans="1:29" s="5" customFormat="1" ht="14" x14ac:dyDescent="0.15">
      <c r="A6" s="5">
        <v>110</v>
      </c>
      <c r="B6" s="5">
        <v>2700</v>
      </c>
      <c r="C6" s="5">
        <f t="shared" si="2"/>
        <v>3.1415926535897927</v>
      </c>
      <c r="D6" s="7">
        <v>5.8318095007217421E-2</v>
      </c>
      <c r="E6" s="7">
        <v>0.62110324976213527</v>
      </c>
      <c r="F6" s="7">
        <v>5.2712741565032056E-2</v>
      </c>
      <c r="G6" s="7">
        <v>1.0684543940531796E-4</v>
      </c>
      <c r="H6" s="6">
        <v>1.74511524240975</v>
      </c>
      <c r="I6" s="8">
        <f t="shared" si="3"/>
        <v>1.6823760713083506E-2</v>
      </c>
      <c r="J6" s="8">
        <f t="shared" si="4"/>
        <v>0.17917753401964698</v>
      </c>
      <c r="K6" s="8">
        <f t="shared" si="5"/>
        <v>0.19600129473273048</v>
      </c>
      <c r="L6" s="8">
        <f t="shared" si="6"/>
        <v>3.92002589465461E-2</v>
      </c>
      <c r="M6" s="11">
        <f t="shared" si="7"/>
        <v>0.68883147445567039</v>
      </c>
      <c r="N6" s="11">
        <f>ATAN($M6+$F6-$D6*SIN($H6))</f>
        <v>0.59998169625686648</v>
      </c>
      <c r="O6" s="5">
        <f>($D6*$C6*COS($H6))+($D6*C6*($F6+$D6*COS($H6))*SIN($H6))/(SQRT($E6^2-($F6+$D6*COS($H6)^2)))</f>
        <v>-1.8422110002235537E-2</v>
      </c>
      <c r="P6" s="5">
        <f>(-$D6*$C6^2*SIN($H6))+(-$D6*$C6^2*($F6+$D6*COS($H6))*COS($H6)+$D6^2*C6^2*(SIN($H6))^2)/SQRT($E6^2-($F6+$D6*COS($H6))^2)+($D6^2*C6^2*($F6+$D6*COS($H6))^2*(SIN($H6))^2)/($E6^2-($F6+$D6*COS($H6))^2)^3/2</f>
        <v>-0.50692755034308601</v>
      </c>
      <c r="Q6" s="5">
        <f t="shared" si="8"/>
        <v>109.98012830875943</v>
      </c>
      <c r="R6" s="12">
        <f t="shared" si="9"/>
        <v>-1.9871691240587255E-2</v>
      </c>
      <c r="S6" s="12">
        <f t="shared" si="10"/>
        <v>109.96025661751885</v>
      </c>
      <c r="T6" s="12">
        <f>($R6+$A6)/COS($N6)</f>
        <v>133.25336888099395</v>
      </c>
      <c r="U6" s="12">
        <f t="shared" si="11"/>
        <v>1.6794572368070144E-3</v>
      </c>
      <c r="V6" s="12">
        <f t="shared" si="12"/>
        <v>-9.5366093795073263E-3</v>
      </c>
      <c r="W6" s="12">
        <f t="shared" si="13"/>
        <v>95.264196915462435</v>
      </c>
      <c r="X6" s="12">
        <f>$I6*(C6^2)*$D6</f>
        <v>9.6833617647783133E-3</v>
      </c>
      <c r="Y6" s="5">
        <f>$W6*$D6</f>
        <v>5.5556264865022067</v>
      </c>
      <c r="Z6" s="5">
        <f>$Y6*C6</f>
        <v>17.453515356084203</v>
      </c>
      <c r="AA6" s="13">
        <f t="shared" si="0"/>
        <v>1.1287615947464511</v>
      </c>
      <c r="AB6" s="5">
        <f t="shared" si="1"/>
        <v>6.1071172145936385</v>
      </c>
    </row>
    <row r="7" spans="1:29" s="5" customFormat="1" ht="14" x14ac:dyDescent="0.15">
      <c r="A7" s="5">
        <v>110</v>
      </c>
      <c r="B7" s="5">
        <v>2700</v>
      </c>
      <c r="C7" s="5">
        <f t="shared" si="2"/>
        <v>3.1415926535897927</v>
      </c>
      <c r="D7" s="7">
        <v>0.13203986461790204</v>
      </c>
      <c r="E7" s="7">
        <v>0.59063496360537304</v>
      </c>
      <c r="F7" s="7">
        <v>0.11131355049714209</v>
      </c>
      <c r="G7" s="7">
        <v>3.8991529182668311E-4</v>
      </c>
      <c r="H7" s="6">
        <v>0.41474937456770677</v>
      </c>
      <c r="I7" s="8">
        <f t="shared" si="3"/>
        <v>0.13900777833216152</v>
      </c>
      <c r="J7" s="8">
        <f t="shared" si="4"/>
        <v>0.62180353133252475</v>
      </c>
      <c r="K7" s="8">
        <f t="shared" si="5"/>
        <v>0.76081130966468624</v>
      </c>
      <c r="L7" s="8">
        <f t="shared" si="6"/>
        <v>0.15216226193293725</v>
      </c>
      <c r="M7" s="11">
        <f t="shared" si="7"/>
        <v>0.54350798334168471</v>
      </c>
      <c r="N7" s="11">
        <f>ATAN($M7+$F7-$D7*SIN($H7))</f>
        <v>0.54160591575218886</v>
      </c>
      <c r="O7" s="5">
        <f>($D7*$C7*COS($H7))+($D7*C7*($F7+$D7*COS($H7))*SIN($H7))/(SQRT($E7^2-($F7+$D7*COS($H7)^2)))</f>
        <v>0.48856670888109466</v>
      </c>
      <c r="P7" s="5">
        <f>(-$D7*$C7^2*SIN($H7))+(-$D7*$C7^2*($F7+$D7*COS($H7))*COS($H7)+$D7^2*C7^2*(SIN($H7))^2)/SQRT($E7^2-($F7+$D7*COS($H7))^2)+($D7^2*C7^2*($F7+$D7*COS($H7))^2*(SIN($H7))^2)/($E7^2-($F7+$D7*COS($H7))^2)^3/2</f>
        <v>-0.95418489613637802</v>
      </c>
      <c r="Q7" s="5">
        <f t="shared" si="8"/>
        <v>109.85480906790166</v>
      </c>
      <c r="R7" s="12">
        <f t="shared" si="9"/>
        <v>-0.14519093209835607</v>
      </c>
      <c r="S7" s="12">
        <f t="shared" si="10"/>
        <v>109.7096181358033</v>
      </c>
      <c r="T7" s="12">
        <f>($R7+$A7)/COS($N7)</f>
        <v>128.20297282017364</v>
      </c>
      <c r="U7" s="12">
        <f t="shared" si="11"/>
        <v>-0.16579375147282607</v>
      </c>
      <c r="V7" s="12">
        <f t="shared" si="12"/>
        <v>-7.2997244436317582E-2</v>
      </c>
      <c r="W7" s="12">
        <f t="shared" si="13"/>
        <v>104.75411295383769</v>
      </c>
      <c r="X7" s="12">
        <f>$I7*(C7^2)*$D7</f>
        <v>0.18115232740080575</v>
      </c>
      <c r="Y7" s="5">
        <f>$W7*$D7</f>
        <v>13.831718892593146</v>
      </c>
      <c r="Z7" s="5">
        <f>$Y7*C7</f>
        <v>43.453626459489769</v>
      </c>
      <c r="AA7" s="13">
        <f t="shared" si="0"/>
        <v>1.0028917331760414</v>
      </c>
      <c r="AB7" s="5">
        <f t="shared" si="1"/>
        <v>4.5319021696419828</v>
      </c>
    </row>
    <row r="8" spans="1:29" s="5" customFormat="1" ht="14" x14ac:dyDescent="0.15">
      <c r="A8" s="5">
        <v>110</v>
      </c>
      <c r="B8" s="5">
        <v>2700</v>
      </c>
      <c r="C8" s="5">
        <f t="shared" si="2"/>
        <v>3.1415926535897927</v>
      </c>
      <c r="D8" s="7">
        <v>0.17835133445468077</v>
      </c>
      <c r="E8" s="7">
        <v>0.62429667292634428</v>
      </c>
      <c r="F8" s="7">
        <v>6.9827063394931582E-2</v>
      </c>
      <c r="G8" s="7">
        <v>1.4238432164069269E-4</v>
      </c>
      <c r="H8" s="6">
        <v>1.9313631904507058</v>
      </c>
      <c r="I8" s="8">
        <f t="shared" si="3"/>
        <v>6.8564971179113463E-2</v>
      </c>
      <c r="J8" s="8">
        <f t="shared" si="4"/>
        <v>0.24000315734832908</v>
      </c>
      <c r="K8" s="8">
        <f t="shared" si="5"/>
        <v>0.30856812852744253</v>
      </c>
      <c r="L8" s="8">
        <f t="shared" si="6"/>
        <v>6.1713625705488509E-2</v>
      </c>
      <c r="M8" s="11">
        <f t="shared" si="7"/>
        <v>0.84330378678340834</v>
      </c>
      <c r="N8" s="11">
        <f>ATAN($M8+$F8-$D8*SIN($H8))</f>
        <v>0.64109552980902917</v>
      </c>
      <c r="O8" s="5">
        <f>($D8*$C8*COS($H8))+($D8*C8*($F8+$D8*COS($H8))*SIN($H8))/(SQRT($E8^2-($F8+$D8*COS($H8)^2)))</f>
        <v>-0.19104541054110738</v>
      </c>
      <c r="P8" s="5">
        <f>(-$D8*$C8^2*SIN($H8))+(-$D8*$C8^2*($F8+$D8*COS($H8))*COS($H8)+$D8^2*C8^2*(SIN($H8))^2)/SQRT($E8^2-($F8+$D8*COS($H8))^2)+($D8^2*C8^2*($F8+$D8*COS($H8))^2*(SIN($H8))^2)/($E8^2-($F8+$D8*COS($H8))^2)^3/2</f>
        <v>-1.1997785331083184</v>
      </c>
      <c r="Q8" s="5">
        <f t="shared" si="8"/>
        <v>109.92595731667828</v>
      </c>
      <c r="R8" s="12">
        <f t="shared" si="9"/>
        <v>-7.404268332172681E-2</v>
      </c>
      <c r="S8" s="12">
        <f t="shared" si="10"/>
        <v>109.85191463335656</v>
      </c>
      <c r="T8" s="12">
        <f>($R8+$A8)/COS($N8)</f>
        <v>137.16038114710605</v>
      </c>
      <c r="U8" s="12">
        <f t="shared" si="11"/>
        <v>4.258069753528234E-2</v>
      </c>
      <c r="V8" s="12">
        <f t="shared" si="12"/>
        <v>-0.11293111991464412</v>
      </c>
      <c r="W8" s="12">
        <f t="shared" si="13"/>
        <v>73.916100291426716</v>
      </c>
      <c r="X8" s="12">
        <f>$I8*(C8^2)*$D8</f>
        <v>0.12069197839030947</v>
      </c>
      <c r="Y8" s="5">
        <f>$W8*$D8</f>
        <v>13.183035124661973</v>
      </c>
      <c r="Z8" s="5">
        <f>$Y8*C8</f>
        <v>41.415726299654253</v>
      </c>
      <c r="AA8" s="13">
        <f t="shared" si="0"/>
        <v>0.4022764782217389</v>
      </c>
      <c r="AB8" s="5">
        <f t="shared" si="1"/>
        <v>1.6885231409854886</v>
      </c>
    </row>
    <row r="9" spans="1:29" s="5" customFormat="1" ht="14" x14ac:dyDescent="0.15">
      <c r="A9" s="5">
        <v>110</v>
      </c>
      <c r="B9" s="5">
        <v>2700</v>
      </c>
      <c r="C9" s="5">
        <f t="shared" si="2"/>
        <v>3.1415926535897927</v>
      </c>
      <c r="D9" s="7">
        <v>0.13769001186239649</v>
      </c>
      <c r="E9" s="7">
        <v>0.66157641268465328</v>
      </c>
      <c r="F9" s="7">
        <v>0.11040347046249416</v>
      </c>
      <c r="G9" s="7">
        <v>2.2737641056626886E-4</v>
      </c>
      <c r="H9" s="6">
        <v>6.2276450838906969E-2</v>
      </c>
      <c r="I9" s="8">
        <f t="shared" si="3"/>
        <v>8.4530143803866475E-2</v>
      </c>
      <c r="J9" s="8">
        <f t="shared" si="4"/>
        <v>0.40615254908517162</v>
      </c>
      <c r="K9" s="8">
        <f t="shared" si="5"/>
        <v>0.4906826928890381</v>
      </c>
      <c r="L9" s="8">
        <f t="shared" si="6"/>
        <v>9.813653857780763E-2</v>
      </c>
      <c r="M9" s="11">
        <f t="shared" si="7"/>
        <v>0.56754084441602137</v>
      </c>
      <c r="N9" s="11">
        <f>ATAN($M9+$F9-$D9*SIN($H9))</f>
        <v>0.5898752683150098</v>
      </c>
      <c r="O9" s="5">
        <f>($D9*$C9*COS($H9))+($D9*C9*($F9+$D9*COS($H9))*SIN($H9))/(SQRT($E9^2-($F9+$D9*COS($H9)^2)))</f>
        <v>0.4470285861826408</v>
      </c>
      <c r="P9" s="5">
        <f>(-$D9*$C9^2*SIN($H9))+(-$D9*$C9^2*($F9+$D9*COS($H9))*COS($H9)+$D9^2*C9^2*(SIN($H9))^2)/SQRT($E9^2-($F9+$D9*COS($H9))^2)+($D9^2*C9^2*($F9+$D9*COS($H9))^2*(SIN($H9))^2)/($E9^2-($F9+$D9*COS($H9))^2)^3/2</f>
        <v>-0.63095062585073769</v>
      </c>
      <c r="Q9" s="5">
        <f t="shared" si="8"/>
        <v>109.93808068956551</v>
      </c>
      <c r="R9" s="12">
        <f t="shared" si="9"/>
        <v>-6.1919310434492787E-2</v>
      </c>
      <c r="S9" s="12">
        <f t="shared" si="10"/>
        <v>109.87616137913102</v>
      </c>
      <c r="T9" s="12">
        <f>($R9+$A9)/COS($N9)</f>
        <v>132.29452308578001</v>
      </c>
      <c r="U9" s="12">
        <f t="shared" si="11"/>
        <v>-0.11464921123882149</v>
      </c>
      <c r="V9" s="12">
        <f t="shared" si="12"/>
        <v>-7.1491907276993579E-3</v>
      </c>
      <c r="W9" s="12">
        <f t="shared" si="13"/>
        <v>80.289275147690574</v>
      </c>
      <c r="X9" s="12">
        <f>$I9*(C9^2)*$D9</f>
        <v>0.11487189632692991</v>
      </c>
      <c r="Y9" s="5">
        <f>$W9*$D9</f>
        <v>11.055031247508731</v>
      </c>
      <c r="Z9" s="5">
        <f>$Y9*C9</f>
        <v>34.730404952379033</v>
      </c>
      <c r="AA9" s="13">
        <f t="shared" si="0"/>
        <v>0.93034522998139235</v>
      </c>
      <c r="AB9" s="5">
        <f t="shared" si="1"/>
        <v>3.9052810889394216</v>
      </c>
    </row>
    <row r="10" spans="1:29" s="5" customFormat="1" ht="14" x14ac:dyDescent="0.15">
      <c r="A10" s="5">
        <v>110</v>
      </c>
      <c r="B10" s="5">
        <v>2700</v>
      </c>
      <c r="C10" s="5">
        <f t="shared" si="2"/>
        <v>3.1415926535897927</v>
      </c>
      <c r="D10" s="7">
        <v>8.2545992088490505E-2</v>
      </c>
      <c r="E10" s="7">
        <v>0.37558411977834183</v>
      </c>
      <c r="F10" s="7">
        <v>5.6052283901143467E-2</v>
      </c>
      <c r="G10" s="7">
        <v>4.654865910453035E-4</v>
      </c>
      <c r="H10" s="6">
        <v>0.17589678112930671</v>
      </c>
      <c r="I10" s="8">
        <f t="shared" si="3"/>
        <v>0.10374494164665489</v>
      </c>
      <c r="J10" s="8">
        <f t="shared" si="4"/>
        <v>0.47203930322920251</v>
      </c>
      <c r="K10" s="8">
        <f t="shared" si="5"/>
        <v>0.57578424487585744</v>
      </c>
      <c r="L10" s="8">
        <f t="shared" si="6"/>
        <v>0.11515684897517149</v>
      </c>
      <c r="M10" s="11">
        <f t="shared" si="7"/>
        <v>0.26530928686462835</v>
      </c>
      <c r="N10" s="11">
        <f>ATAN($M10+$F10-$D10*SIN($H10))</f>
        <v>0.29779029712083471</v>
      </c>
      <c r="O10" s="5">
        <f>($D10*$C10*COS($H10))+($D10*C10*($F10+$D10*COS($H10))*SIN($H10))/(SQRT($E10^2-($F10+$D10*COS($H10)^2)))</f>
        <v>0.3435176900611272</v>
      </c>
      <c r="P10" s="5">
        <f>(-$D10*$C10^2*SIN($H10))+(-$D10*$C10^2*($F10+$D10*COS($H10))*COS($H10)+$D10^2*C10^2*(SIN($H10))^2)/SQRT($E10^2-($F10+$D10*COS($H10))^2)+($D10^2*C10^2*($F10+$D10*COS($H10))^2*(SIN($H10))^2)/($E10^2-($F10+$D10*COS($H10))^2)^3/2</f>
        <v>-0.44113220172899315</v>
      </c>
      <c r="Q10" s="5">
        <f t="shared" si="8"/>
        <v>109.94920060566741</v>
      </c>
      <c r="R10" s="12">
        <f t="shared" si="9"/>
        <v>-5.079939433259055E-2</v>
      </c>
      <c r="S10" s="12">
        <f t="shared" si="10"/>
        <v>109.89840121133483</v>
      </c>
      <c r="T10" s="12">
        <f>($R10+$A10)/COS($N10)</f>
        <v>115.01116780137126</v>
      </c>
      <c r="U10" s="12">
        <f t="shared" si="11"/>
        <v>-8.3216466100442449E-2</v>
      </c>
      <c r="V10" s="12">
        <f t="shared" si="12"/>
        <v>-1.4790360409930909E-2</v>
      </c>
      <c r="W10" s="12">
        <f t="shared" si="13"/>
        <v>52.464699803785606</v>
      </c>
      <c r="X10" s="12">
        <f>$I10*(C10^2)*$D10</f>
        <v>8.4520618734730865E-2</v>
      </c>
      <c r="Y10" s="5">
        <f>$W10*$D10</f>
        <v>4.3307506949283159</v>
      </c>
      <c r="Z10" s="5">
        <f>$Y10*C10</f>
        <v>13.605454567715686</v>
      </c>
      <c r="AA10" s="13">
        <f t="shared" si="0"/>
        <v>0.74645830319411133</v>
      </c>
      <c r="AB10" s="5">
        <f t="shared" si="1"/>
        <v>2.8110490643959669</v>
      </c>
    </row>
    <row r="11" spans="1:29" s="5" customFormat="1" ht="14" x14ac:dyDescent="0.15">
      <c r="A11" s="5">
        <v>110</v>
      </c>
      <c r="B11" s="5">
        <v>2700</v>
      </c>
      <c r="C11" s="5">
        <f t="shared" si="2"/>
        <v>3.1415926535897927</v>
      </c>
      <c r="D11" s="7">
        <v>8.7055454229173032E-2</v>
      </c>
      <c r="E11" s="7">
        <v>0.52416276761019864</v>
      </c>
      <c r="F11" s="7">
        <v>8.2342419887317317E-2</v>
      </c>
      <c r="G11" s="7">
        <v>2.0596234826729344E-4</v>
      </c>
      <c r="H11" s="6">
        <v>2.0395973316284159</v>
      </c>
      <c r="I11" s="8">
        <f t="shared" si="3"/>
        <v>4.8411393612794167E-2</v>
      </c>
      <c r="J11" s="8">
        <f t="shared" si="4"/>
        <v>0.29148604512645637</v>
      </c>
      <c r="K11" s="8">
        <f t="shared" si="5"/>
        <v>0.33989743873925055</v>
      </c>
      <c r="L11" s="8">
        <f t="shared" si="6"/>
        <v>6.7979487747850106E-2</v>
      </c>
      <c r="M11" s="11">
        <f t="shared" si="7"/>
        <v>0.64410816450189079</v>
      </c>
      <c r="N11" s="11">
        <f>ATAN($M11+$F11-$D11*SIN($H11))</f>
        <v>0.57552236587526118</v>
      </c>
      <c r="O11" s="5">
        <f>($D11*$C11*COS($H11))+($D11*C11*($F11+$D11*COS($H11))*SIN($H11))/(SQRT($E11^2-($F11+$D11*COS($H11)^2)))</f>
        <v>-9.8457683517999814E-2</v>
      </c>
      <c r="P11" s="5">
        <f>(-$D11*$C11^2*SIN($H11))+(-$D11*$C11^2*($F11+$D11*COS($H11))*COS($H11)+$D11^2*C11^2*(SIN($H11))^2)/SQRT($E11^2-($F11+$D11*COS($H11))^2)+($D11^2*C11^2*($F11+$D11*COS($H11))^2*(SIN($H11))^2)/($E11^2-($F11+$D11*COS($H11))^2)^3/2</f>
        <v>-0.61787977107021075</v>
      </c>
      <c r="Q11" s="5">
        <f t="shared" si="8"/>
        <v>109.9579968496729</v>
      </c>
      <c r="R11" s="12">
        <f t="shared" si="9"/>
        <v>-4.200315032711182E-2</v>
      </c>
      <c r="S11" s="12">
        <f t="shared" si="10"/>
        <v>109.91599369934579</v>
      </c>
      <c r="T11" s="12">
        <f>($R11+$A11)/COS($N11)</f>
        <v>131.07275505562592</v>
      </c>
      <c r="U11" s="12">
        <f t="shared" si="11"/>
        <v>1.8793421692588564E-2</v>
      </c>
      <c r="V11" s="12">
        <f t="shared" si="12"/>
        <v>-3.7107529623960557E-2</v>
      </c>
      <c r="W11" s="12">
        <f t="shared" si="13"/>
        <v>65.862361323805231</v>
      </c>
      <c r="X11" s="12">
        <f>$I11*(C11^2)*$D11</f>
        <v>4.1595209504323556E-2</v>
      </c>
      <c r="Y11" s="5">
        <f>$W11*$D11</f>
        <v>5.7336777816497824</v>
      </c>
      <c r="Z11" s="5">
        <f>$Y11*C11</f>
        <v>18.012879996881974</v>
      </c>
      <c r="AA11" s="13">
        <f t="shared" si="0"/>
        <v>1.2402393103921741</v>
      </c>
      <c r="AB11" s="5">
        <f t="shared" si="1"/>
        <v>8.5039357741611035</v>
      </c>
    </row>
    <row r="12" spans="1:29" s="5" customFormat="1" ht="14" x14ac:dyDescent="0.15">
      <c r="A12" s="5">
        <v>110</v>
      </c>
      <c r="B12" s="5">
        <v>2700</v>
      </c>
      <c r="C12" s="5">
        <f t="shared" si="2"/>
        <v>3.1415926535897927</v>
      </c>
      <c r="D12" s="7">
        <v>0.1370248895287709</v>
      </c>
      <c r="E12" s="7">
        <v>0.49986857707695864</v>
      </c>
      <c r="F12" s="7">
        <v>0.10927874876454678</v>
      </c>
      <c r="G12" s="7">
        <v>1.41722560904977E-4</v>
      </c>
      <c r="H12" s="6">
        <v>1.9018788446325792</v>
      </c>
      <c r="I12" s="8">
        <f t="shared" si="3"/>
        <v>5.2432699279695245E-2</v>
      </c>
      <c r="J12" s="8">
        <f t="shared" si="4"/>
        <v>0.19127516812003836</v>
      </c>
      <c r="K12" s="8">
        <f t="shared" si="5"/>
        <v>0.2437078673997336</v>
      </c>
      <c r="L12" s="8">
        <f t="shared" si="6"/>
        <v>4.8741573479946725E-2</v>
      </c>
      <c r="M12" s="11">
        <f t="shared" si="7"/>
        <v>0.68307458025811596</v>
      </c>
      <c r="N12" s="11">
        <f>ATAN($M12+$F12-$D12*SIN($H12))</f>
        <v>0.58530014302994482</v>
      </c>
      <c r="O12" s="5">
        <f>($D12*$C12*COS($H12))+($D12*C12*($F12+$D12*COS($H12))*SIN($H12))/(SQRT($E12^2-($F12+$D12*COS($H12)^2)))</f>
        <v>-6.5722031139849632E-2</v>
      </c>
      <c r="P12" s="5">
        <f>(-$D12*$C12^2*SIN($H12))+(-$D12*$C12^2*($F12+$D12*COS($H12))*COS($H12)+$D12^2*C12^2*(SIN($H12))^2)/SQRT($E12^2-($F12+$D12*COS($H12))^2)+($D12^2*C12^2*($F12+$D12*COS($H12))^2*(SIN($H12))^2)/($E12^2-($F12+$D12*COS($H12))^2)^3/2</f>
        <v>-0.86373936740007728</v>
      </c>
      <c r="Q12" s="5">
        <f t="shared" si="8"/>
        <v>109.95789998415634</v>
      </c>
      <c r="R12" s="12">
        <f t="shared" si="9"/>
        <v>-4.2100015843653568E-2</v>
      </c>
      <c r="S12" s="12">
        <f t="shared" si="10"/>
        <v>109.91579996831268</v>
      </c>
      <c r="T12" s="12">
        <f>($R12+$A12)/COS($N12)</f>
        <v>131.91576607748615</v>
      </c>
      <c r="U12" s="12">
        <f t="shared" si="11"/>
        <v>2.3050175335287887E-2</v>
      </c>
      <c r="V12" s="12">
        <f t="shared" si="12"/>
        <v>-6.7058013089686994E-2</v>
      </c>
      <c r="W12" s="12">
        <f t="shared" si="13"/>
        <v>80.296354790675437</v>
      </c>
      <c r="X12" s="12">
        <f>$I12*(C12^2)*$D12</f>
        <v>7.0909010023579841E-2</v>
      </c>
      <c r="Y12" s="5">
        <f>$W12*$D12</f>
        <v>11.002599144755296</v>
      </c>
      <c r="Z12" s="5">
        <f>$Y12*C12</f>
        <v>34.565684643556573</v>
      </c>
      <c r="AA12" s="13">
        <f t="shared" si="0"/>
        <v>0.92315697701683375</v>
      </c>
      <c r="AB12" s="5">
        <f t="shared" si="1"/>
        <v>3.8508365877804893</v>
      </c>
    </row>
    <row r="13" spans="1:29" s="5" customFormat="1" ht="14" x14ac:dyDescent="0.15">
      <c r="A13" s="5">
        <v>110</v>
      </c>
      <c r="B13" s="5">
        <v>2700</v>
      </c>
      <c r="C13" s="5">
        <f t="shared" si="2"/>
        <v>3.1415926535897927</v>
      </c>
      <c r="D13" s="7">
        <v>0.14060530252497783</v>
      </c>
      <c r="E13" s="7">
        <v>0.53470880572248769</v>
      </c>
      <c r="F13" s="7">
        <v>7.2121939306953139E-2</v>
      </c>
      <c r="G13" s="7">
        <v>1.9141155449727194E-4</v>
      </c>
      <c r="H13" s="6">
        <v>0.1315835501232375</v>
      </c>
      <c r="I13" s="8">
        <f t="shared" si="3"/>
        <v>7.266639472253604E-2</v>
      </c>
      <c r="J13" s="8">
        <f t="shared" si="4"/>
        <v>0.27634349800814711</v>
      </c>
      <c r="K13" s="8">
        <f t="shared" si="5"/>
        <v>0.34900989273068317</v>
      </c>
      <c r="L13" s="8">
        <f t="shared" si="6"/>
        <v>6.9801978546136637E-2</v>
      </c>
      <c r="M13" s="11">
        <f t="shared" si="7"/>
        <v>0.40796726890231622</v>
      </c>
      <c r="N13" s="11">
        <f>ATAN($M13+$F13-$D13*SIN($H13))</f>
        <v>0.43249247425382437</v>
      </c>
      <c r="O13" s="5">
        <f>($D13*$C13*COS($H13))+($D13*C13*($F13+$D13*COS($H13))*SIN($H13))/(SQRT($E13^2-($F13+$D13*COS($H13)^2)))</f>
        <v>0.48248742081065221</v>
      </c>
      <c r="P13" s="5">
        <f>(-$D13*$C13^2*SIN($H13))+(-$D13*$C13^2*($F13+$D13*COS($H13))*COS($H13)+$D13^2*C13^2*(SIN($H13))^2)/SQRT($E13^2-($F13+$D13*COS($H13))^2)+($D13^2*C13^2*($F13+$D13*COS($H13))^2*(SIN($H13))^2)/($E13^2-($F13+$D13*COS($H13))^2)^3/2</f>
        <v>-0.7623921572658704</v>
      </c>
      <c r="Q13" s="5">
        <f t="shared" si="8"/>
        <v>109.94678351899479</v>
      </c>
      <c r="R13" s="12">
        <f t="shared" si="9"/>
        <v>-5.3216481005215116E-2</v>
      </c>
      <c r="S13" s="12">
        <f t="shared" si="10"/>
        <v>109.89356703798958</v>
      </c>
      <c r="T13" s="12">
        <f>($R13+$A13)/COS($N13)</f>
        <v>121.09691685006806</v>
      </c>
      <c r="U13" s="12">
        <f t="shared" si="11"/>
        <v>-9.9968786626263628E-2</v>
      </c>
      <c r="V13" s="12">
        <f t="shared" si="12"/>
        <v>-1.3230695905686781E-2</v>
      </c>
      <c r="W13" s="12">
        <f t="shared" si="13"/>
        <v>64.742675363837861</v>
      </c>
      <c r="X13" s="12">
        <f>$I13*(C13^2)*$D13</f>
        <v>0.10084051573487803</v>
      </c>
      <c r="Y13" s="5">
        <f>$W13*$D13</f>
        <v>9.1031634558088506</v>
      </c>
      <c r="Z13" s="5">
        <f>$Y13*C13</f>
        <v>28.598431437196155</v>
      </c>
      <c r="AA13" s="13">
        <f t="shared" si="0"/>
        <v>0.53860498093152587</v>
      </c>
      <c r="AB13" s="5">
        <f t="shared" si="1"/>
        <v>2.0436146032226468</v>
      </c>
    </row>
    <row r="14" spans="1:29" s="5" customFormat="1" ht="14" x14ac:dyDescent="0.15">
      <c r="A14" s="5">
        <v>110</v>
      </c>
      <c r="B14" s="5">
        <v>2700</v>
      </c>
      <c r="C14" s="5">
        <f t="shared" si="2"/>
        <v>3.1415926535897927</v>
      </c>
      <c r="D14" s="7">
        <v>0.11021886375893231</v>
      </c>
      <c r="E14" s="7">
        <v>0.68442949061337832</v>
      </c>
      <c r="F14" s="7">
        <v>0.10363774127960189</v>
      </c>
      <c r="G14" s="7">
        <v>4.5605634541608174E-4</v>
      </c>
      <c r="H14" s="6">
        <v>0.58767392028163878</v>
      </c>
      <c r="I14" s="8">
        <f t="shared" si="3"/>
        <v>0.13571823294489155</v>
      </c>
      <c r="J14" s="8">
        <f t="shared" si="4"/>
        <v>0.84277371289714498</v>
      </c>
      <c r="K14" s="8">
        <f t="shared" si="5"/>
        <v>0.97849194584203647</v>
      </c>
      <c r="L14" s="8">
        <f t="shared" si="6"/>
        <v>0.19569838916840732</v>
      </c>
      <c r="M14" s="11">
        <f t="shared" si="7"/>
        <v>0.68356854370814513</v>
      </c>
      <c r="N14" s="11">
        <f>ATAN($M14+$F14-$D14*SIN($H14))</f>
        <v>0.62802752558717012</v>
      </c>
      <c r="O14" s="5">
        <f>($D14*$C14*COS($H14))+($D14*C14*($F14+$D14*COS($H14))*SIN($H14))/(SQRT($E14^2-($F14+$D14*COS($H14)^2)))</f>
        <v>0.35800236057343704</v>
      </c>
      <c r="P14" s="5">
        <f>(-$D14*$C14^2*SIN($H14))+(-$D14*$C14^2*($F14+$D14*COS($H14))*COS($H14)+$D14^2*C14^2*(SIN($H14))^2)/SQRT($E14^2-($F14+$D14*COS($H14))^2)+($D14^2*C14^2*($F14+$D14*COS($H14))^2*(SIN($H14))^2)/($E14^2-($F14+$D14*COS($H14))^2)^3/2</f>
        <v>-0.80773349373332082</v>
      </c>
      <c r="Q14" s="5">
        <f t="shared" si="8"/>
        <v>109.84192785639902</v>
      </c>
      <c r="R14" s="12">
        <f t="shared" si="9"/>
        <v>-0.15807214360098071</v>
      </c>
      <c r="S14" s="12">
        <f t="shared" si="10"/>
        <v>109.68385571279805</v>
      </c>
      <c r="T14" s="12">
        <f>($R14+$A14)/COS($N14)</f>
        <v>135.74339545741091</v>
      </c>
      <c r="U14" s="12">
        <f t="shared" si="11"/>
        <v>-0.12286794077360849</v>
      </c>
      <c r="V14" s="12">
        <f t="shared" si="12"/>
        <v>-8.1853639929787225E-2</v>
      </c>
      <c r="W14" s="12">
        <f t="shared" si="13"/>
        <v>127.27484078227279</v>
      </c>
      <c r="X14" s="12">
        <f>$I14*(C14^2)*$D14</f>
        <v>0.14763654439095431</v>
      </c>
      <c r="Y14" s="5">
        <f>$W14*$D14</f>
        <v>14.028088336121126</v>
      </c>
      <c r="Z14" s="5">
        <f>$Y14*C14</f>
        <v>44.070539260666784</v>
      </c>
      <c r="AA14" s="13">
        <f t="shared" si="0"/>
        <v>1.2234825311832571</v>
      </c>
      <c r="AB14" s="5">
        <f t="shared" si="1"/>
        <v>8.045401286341848</v>
      </c>
    </row>
    <row r="15" spans="1:29" s="5" customFormat="1" ht="14" x14ac:dyDescent="0.15">
      <c r="A15" s="5">
        <v>110</v>
      </c>
      <c r="B15" s="5">
        <v>2700</v>
      </c>
      <c r="C15" s="5">
        <f t="shared" si="2"/>
        <v>3.1415926535897927</v>
      </c>
      <c r="D15" s="7">
        <v>0.103374505841748</v>
      </c>
      <c r="E15" s="7">
        <v>0.55388271725185312</v>
      </c>
      <c r="F15" s="7">
        <v>0.10028394294852588</v>
      </c>
      <c r="G15" s="7">
        <v>4.4581929664809289E-4</v>
      </c>
      <c r="H15" s="6">
        <v>1.966634565506499</v>
      </c>
      <c r="I15" s="8">
        <f t="shared" si="3"/>
        <v>0.1244331436114231</v>
      </c>
      <c r="J15" s="8">
        <f t="shared" si="4"/>
        <v>0.66671532926304022</v>
      </c>
      <c r="K15" s="8">
        <f t="shared" si="5"/>
        <v>0.79114847287446333</v>
      </c>
      <c r="L15" s="8">
        <f t="shared" si="6"/>
        <v>0.15822969457489267</v>
      </c>
      <c r="M15" s="11">
        <f t="shared" si="7"/>
        <v>0.69262649318688707</v>
      </c>
      <c r="N15" s="11">
        <f>ATAN($M15+$F15-$D15*SIN($H15))</f>
        <v>0.60906598593313432</v>
      </c>
      <c r="O15" s="5">
        <f>($D15*$C15*COS($H15))+($D15*C15*($F15+$D15*COS($H15))*SIN($H15))/(SQRT($E15^2-($F15+$D15*COS($H15)^2)))</f>
        <v>-8.3806776020651425E-2</v>
      </c>
      <c r="P15" s="5">
        <f>(-$D15*$C15^2*SIN($H15))+(-$D15*$C15^2*($F15+$D15*COS($H15))*COS($H15)+$D15^2*C15^2*(SIN($H15))^2)/SQRT($E15^2-($F15+$D15*COS($H15))^2)+($D15^2*C15^2*($F15+$D15*COS($H15))^2*(SIN($H15))^2)/($E15^2-($F15+$D15*COS($H15))^2)^3/2</f>
        <v>-0.7292316486485696</v>
      </c>
      <c r="Q15" s="5">
        <f t="shared" si="8"/>
        <v>109.88461389896</v>
      </c>
      <c r="R15" s="12">
        <f t="shared" si="9"/>
        <v>-0.11538610104000861</v>
      </c>
      <c r="S15" s="12">
        <f t="shared" si="10"/>
        <v>109.76922779792</v>
      </c>
      <c r="T15" s="12">
        <f>($R15+$A15)/COS($N15)</f>
        <v>133.97577191907348</v>
      </c>
      <c r="U15" s="12">
        <f t="shared" si="11"/>
        <v>4.8951469019198536E-2</v>
      </c>
      <c r="V15" s="12">
        <f t="shared" si="12"/>
        <v>-0.11713788995808704</v>
      </c>
      <c r="W15" s="12">
        <f t="shared" si="13"/>
        <v>71.83366398246217</v>
      </c>
      <c r="X15" s="12">
        <f>$I15*(C15^2)*$D15</f>
        <v>0.12695484072287461</v>
      </c>
      <c r="Y15" s="5">
        <f>$W15*$D15</f>
        <v>7.425769516989198</v>
      </c>
      <c r="Z15" s="5">
        <f>$Y15*C15</f>
        <v>23.328742961824286</v>
      </c>
      <c r="AA15" s="13">
        <f t="shared" si="0"/>
        <v>1.3256558382497776</v>
      </c>
      <c r="AB15" s="5">
        <f t="shared" si="1"/>
        <v>11.815478472098958</v>
      </c>
    </row>
    <row r="16" spans="1:29" s="5" customFormat="1" ht="14" x14ac:dyDescent="0.15">
      <c r="A16" s="5">
        <v>110</v>
      </c>
      <c r="B16" s="5">
        <v>2700</v>
      </c>
      <c r="C16" s="5">
        <f t="shared" si="2"/>
        <v>3.1415926535897927</v>
      </c>
      <c r="D16" s="7">
        <v>0.1137454852501002</v>
      </c>
      <c r="E16" s="7">
        <v>0.69692173258609191</v>
      </c>
      <c r="F16" s="7">
        <v>7.6865881328727181E-2</v>
      </c>
      <c r="G16" s="7">
        <v>1.7207701476484248E-4</v>
      </c>
      <c r="H16" s="6">
        <v>1.0635388945498052</v>
      </c>
      <c r="I16" s="8">
        <f t="shared" si="3"/>
        <v>5.2847055571002298E-2</v>
      </c>
      <c r="J16" s="8">
        <f t="shared" si="4"/>
        <v>0.32379537042402268</v>
      </c>
      <c r="K16" s="8">
        <f t="shared" si="5"/>
        <v>0.37664242599502495</v>
      </c>
      <c r="L16" s="8">
        <f t="shared" si="6"/>
        <v>7.5328485199004994E-2</v>
      </c>
      <c r="M16" s="11">
        <f t="shared" si="7"/>
        <v>0.75999269918292656</v>
      </c>
      <c r="N16" s="11">
        <f>ATAN($M16+$F16-$D16*SIN($H16))</f>
        <v>0.63541148471673869</v>
      </c>
      <c r="O16" s="5">
        <f>($D16*$C16*COS($H16))+($D16*C16*($F16+$D16*COS($H16))*SIN($H16))/(SQRT($E16^2-($F16+$D16*COS($H16)^2)))</f>
        <v>0.24036023274407764</v>
      </c>
      <c r="P16" s="5">
        <f>(-$D16*$C16^2*SIN($H16))+(-$D16*$C16^2*($F16+$D16*COS($H16))*COS($H16)+$D16^2*C16^2*(SIN($H16))^2)/SQRT($E16^2-($F16+$D16*COS($H16))^2)+($D16^2*C16^2*($F16+$D16*COS($H16))^2*(SIN($H16))^2)/($E16^2-($F16+$D16*COS($H16))^2)^3/2</f>
        <v>-0.93569223888433151</v>
      </c>
      <c r="Q16" s="5">
        <f t="shared" si="8"/>
        <v>109.92951572103237</v>
      </c>
      <c r="R16" s="12">
        <f t="shared" si="9"/>
        <v>-7.0484278967622216E-2</v>
      </c>
      <c r="S16" s="12">
        <f t="shared" si="10"/>
        <v>109.85903144206475</v>
      </c>
      <c r="T16" s="12">
        <f>($R16+$A16)/COS($N16)</f>
        <v>136.58766579946257</v>
      </c>
      <c r="U16" s="12">
        <f t="shared" si="11"/>
        <v>-2.8820133980969151E-2</v>
      </c>
      <c r="V16" s="12">
        <f t="shared" si="12"/>
        <v>-5.1856826154314861E-2</v>
      </c>
      <c r="W16" s="12">
        <f t="shared" si="13"/>
        <v>135.467578921968</v>
      </c>
      <c r="X16" s="12">
        <f>$I16*(C16^2)*$D16</f>
        <v>5.9327316992089291E-2</v>
      </c>
      <c r="Y16" s="5">
        <f>$W16*$D16</f>
        <v>15.408825500135496</v>
      </c>
      <c r="Z16" s="5">
        <f>$Y16*C16</f>
        <v>48.40825299167274</v>
      </c>
      <c r="AA16" s="13">
        <f t="shared" si="0"/>
        <v>0.74200994948155907</v>
      </c>
      <c r="AB16" s="5">
        <f t="shared" si="1"/>
        <v>2.7905939812546627</v>
      </c>
    </row>
    <row r="17" spans="1:28" s="5" customFormat="1" ht="14" x14ac:dyDescent="0.15">
      <c r="A17" s="5">
        <v>110</v>
      </c>
      <c r="B17" s="5">
        <v>2700</v>
      </c>
      <c r="C17" s="5">
        <f t="shared" si="2"/>
        <v>3.1415926535897927</v>
      </c>
      <c r="D17" s="7">
        <v>7.5575744396577993E-2</v>
      </c>
      <c r="E17" s="7">
        <v>0.3895119781460793</v>
      </c>
      <c r="F17" s="7">
        <v>7.3159493874985632E-2</v>
      </c>
      <c r="G17" s="7">
        <v>4.8737151474508987E-4</v>
      </c>
      <c r="H17" s="6">
        <v>0.32865275073488326</v>
      </c>
      <c r="I17" s="8">
        <f t="shared" si="3"/>
        <v>9.9450355566279472E-2</v>
      </c>
      <c r="J17" s="8">
        <f t="shared" si="4"/>
        <v>0.51256001556110975</v>
      </c>
      <c r="K17" s="8">
        <f t="shared" si="5"/>
        <v>0.61201037112738921</v>
      </c>
      <c r="L17" s="8">
        <f t="shared" si="6"/>
        <v>0.12240207422547784</v>
      </c>
      <c r="M17" s="11">
        <f t="shared" si="7"/>
        <v>0.31686756288160317</v>
      </c>
      <c r="N17" s="11">
        <f>ATAN($M17+$F17-$D17*SIN($H17))</f>
        <v>0.35053386342652665</v>
      </c>
      <c r="O17" s="5">
        <f>($D17*$C17*COS($H17))+($D17*C17*($F17+$D17*COS($H17))*SIN($H17))/(SQRT($E17^2-($F17+$D17*COS($H17)^2)))</f>
        <v>0.33113293286488371</v>
      </c>
      <c r="P17" s="5">
        <f>(-$D17*$C17^2*SIN($H17))+(-$D17*$C17^2*($F17+$D17*COS($H17))*COS($H17)+$D17^2*C17^2*(SIN($H17))^2)/SQRT($E17^2-($F17+$D17*COS($H17))^2)+($D17^2*C17^2*($F17+$D17*COS($H17))^2*(SIN($H17))^2)/($E17^2-($F17+$D17*COS($H17))^2)^3/2</f>
        <v>-0.47949186600206956</v>
      </c>
      <c r="Q17" s="5">
        <f t="shared" si="8"/>
        <v>109.9413092010271</v>
      </c>
      <c r="R17" s="12">
        <f t="shared" si="9"/>
        <v>-5.8690798972898195E-2</v>
      </c>
      <c r="S17" s="12">
        <f t="shared" si="10"/>
        <v>109.88261840205419</v>
      </c>
      <c r="T17" s="12">
        <f>($R17+$A17)/COS($N17)</f>
        <v>117.05977020402544</v>
      </c>
      <c r="U17" s="12">
        <f t="shared" si="11"/>
        <v>-7.0210015097857334E-2</v>
      </c>
      <c r="V17" s="12">
        <f t="shared" si="12"/>
        <v>-2.3943036759111344E-2</v>
      </c>
      <c r="W17" s="12">
        <f t="shared" si="13"/>
        <v>73.53230615750806</v>
      </c>
      <c r="X17" s="12">
        <f>$I17*(C17^2)*$D17</f>
        <v>7.4180288684323095E-2</v>
      </c>
      <c r="Y17" s="5">
        <f>$W17*$D17</f>
        <v>5.5572587750507472</v>
      </c>
      <c r="Z17" s="5">
        <f>$Y17*C17</f>
        <v>17.458643341796837</v>
      </c>
      <c r="AA17" s="13">
        <f t="shared" si="0"/>
        <v>1.3172492067979191</v>
      </c>
      <c r="AB17" s="5">
        <f t="shared" si="1"/>
        <v>11.390567298209676</v>
      </c>
    </row>
    <row r="18" spans="1:28" s="5" customFormat="1" ht="14" x14ac:dyDescent="0.15">
      <c r="A18" s="5">
        <v>110</v>
      </c>
      <c r="B18" s="5">
        <v>2700</v>
      </c>
      <c r="C18" s="5">
        <f t="shared" si="2"/>
        <v>3.1415926535897927</v>
      </c>
      <c r="D18" s="7">
        <v>0.18710191219554007</v>
      </c>
      <c r="E18" s="7">
        <v>0.70724761307653583</v>
      </c>
      <c r="F18" s="7">
        <v>0.12314675734913624</v>
      </c>
      <c r="G18" s="7">
        <v>4.3282110267876649E-4</v>
      </c>
      <c r="H18" s="6">
        <v>0.1774188933580215</v>
      </c>
      <c r="I18" s="8">
        <f t="shared" si="3"/>
        <v>0.21865047106440438</v>
      </c>
      <c r="J18" s="8">
        <f t="shared" si="4"/>
        <v>0.8265015677485219</v>
      </c>
      <c r="K18" s="8">
        <f t="shared" si="5"/>
        <v>1.0451520388129263</v>
      </c>
      <c r="L18" s="8">
        <f t="shared" si="6"/>
        <v>0.20903040776258527</v>
      </c>
      <c r="M18" s="11">
        <f t="shared" si="7"/>
        <v>0.60852082299388965</v>
      </c>
      <c r="N18" s="11">
        <f>ATAN($M18+$F18-$D18*SIN($H18))</f>
        <v>0.60981669061853272</v>
      </c>
      <c r="O18" s="5">
        <f>($D18*$C18*COS($H18))+($D18*C18*($F18+$D18*COS($H18))*SIN($H18))/(SQRT($E18^2-($F18+$D18*COS($H18)^2)))</f>
        <v>0.65062265018060716</v>
      </c>
      <c r="P18" s="5">
        <f>(-$D18*$C18^2*SIN($H18))+(-$D18*$C18^2*($F18+$D18*COS($H18))*COS($H18)+$D18^2*C18^2*(SIN($H18))^2)/SQRT($E18^2-($F18+$D18*COS($H18))^2)+($D18^2*C18^2*($F18+$D18*COS($H18))^2*(SIN($H18))^2)/($E18^2-($F18+$D18*COS($H18))^2)^3/2</f>
        <v>-1.178310477901487</v>
      </c>
      <c r="Q18" s="5">
        <f t="shared" si="8"/>
        <v>109.75369728033333</v>
      </c>
      <c r="R18" s="12">
        <f t="shared" si="9"/>
        <v>-0.24630271966667455</v>
      </c>
      <c r="S18" s="12">
        <f t="shared" si="10"/>
        <v>109.50739456066665</v>
      </c>
      <c r="T18" s="12">
        <f>($R18+$A18)/COS($N18)</f>
        <v>133.88629883754379</v>
      </c>
      <c r="U18" s="12">
        <f t="shared" si="11"/>
        <v>-0.3974266455384548</v>
      </c>
      <c r="V18" s="12">
        <f t="shared" si="12"/>
        <v>-7.1260266890993365E-2</v>
      </c>
      <c r="W18" s="12">
        <f t="shared" si="13"/>
        <v>94.845702021921298</v>
      </c>
      <c r="X18" s="12">
        <f>$I18*(C18^2)*$D18</f>
        <v>0.40376473870476132</v>
      </c>
      <c r="Y18" s="5">
        <f>$W18*$D18</f>
        <v>17.745812211829875</v>
      </c>
      <c r="Z18" s="5">
        <f>$Y18*C18</f>
        <v>55.750113276668763</v>
      </c>
      <c r="AA18" s="13">
        <f t="shared" si="0"/>
        <v>0.71839889987277683</v>
      </c>
      <c r="AB18" s="5">
        <f t="shared" si="1"/>
        <v>2.6855961249597113</v>
      </c>
    </row>
    <row r="19" spans="1:28" s="5" customFormat="1" ht="14" x14ac:dyDescent="0.15">
      <c r="A19" s="5">
        <v>110</v>
      </c>
      <c r="B19" s="5">
        <v>2700</v>
      </c>
      <c r="C19" s="5">
        <f t="shared" si="2"/>
        <v>3.1415926535897927</v>
      </c>
      <c r="D19" s="7">
        <v>0.11812626373451977</v>
      </c>
      <c r="E19" s="7">
        <v>0.6864453814433269</v>
      </c>
      <c r="F19" s="7">
        <v>5.1429174907155234E-2</v>
      </c>
      <c r="G19" s="7">
        <v>3.8667362543718054E-4</v>
      </c>
      <c r="H19" s="6">
        <v>0.66276230796053737</v>
      </c>
      <c r="I19" s="8">
        <f t="shared" si="3"/>
        <v>0.12332603877545331</v>
      </c>
      <c r="J19" s="8">
        <f t="shared" si="4"/>
        <v>0.71666187562970862</v>
      </c>
      <c r="K19" s="8">
        <f t="shared" si="5"/>
        <v>0.83998791440516196</v>
      </c>
      <c r="L19" s="8">
        <f t="shared" si="6"/>
        <v>0.16799758288103239</v>
      </c>
      <c r="M19" s="11">
        <f t="shared" si="7"/>
        <v>0.68971901140314351</v>
      </c>
      <c r="N19" s="11">
        <f>ATAN($M19+$F19-$D19*SIN($H19))</f>
        <v>0.58924690538114743</v>
      </c>
      <c r="O19" s="5">
        <f>($D19*$C19*COS($H19))+($D19*C19*($F19+$D19*COS($H19))*SIN($H19))/(SQRT($E19^2-($F19+$D19*COS($H19)^2)))</f>
        <v>0.3486216251216217</v>
      </c>
      <c r="P19" s="5">
        <f>(-$D19*$C19^2*SIN($H19))+(-$D19*$C19^2*($F19+$D19*COS($H19))*COS($H19)+$D19^2*C19^2*(SIN($H19))^2)/SQRT($E19^2-($F19+$D19*COS($H19))^2)+($D19^2*C19^2*($F19+$D19*COS($H19))^2*(SIN($H19))^2)/($E19^2-($F19+$D19*COS($H19))^2)^3/2</f>
        <v>-0.83165265894385298</v>
      </c>
      <c r="Q19" s="5">
        <f t="shared" si="8"/>
        <v>109.86028436350085</v>
      </c>
      <c r="R19" s="12">
        <f t="shared" si="9"/>
        <v>-0.13971563649915092</v>
      </c>
      <c r="S19" s="12">
        <f t="shared" si="10"/>
        <v>109.72056872700171</v>
      </c>
      <c r="T19" s="12">
        <f>($R19+$A19)/COS($N19)</f>
        <v>132.14535087598281</v>
      </c>
      <c r="U19" s="12">
        <f t="shared" si="11"/>
        <v>-0.11334179830255893</v>
      </c>
      <c r="V19" s="12">
        <f t="shared" si="12"/>
        <v>-8.8467873758969126E-2</v>
      </c>
      <c r="W19" s="12">
        <f t="shared" si="13"/>
        <v>125.48737299399613</v>
      </c>
      <c r="X19" s="12">
        <f>$I19*(C19^2)*$D19</f>
        <v>0.14378083297119559</v>
      </c>
      <c r="Y19" s="5">
        <f>$W19*$D19</f>
        <v>14.823354517640841</v>
      </c>
      <c r="Z19" s="5">
        <f>$Y19*C19</f>
        <v>46.568941654177529</v>
      </c>
      <c r="AA19" s="13">
        <f t="shared" si="0"/>
        <v>0.45045434263635414</v>
      </c>
      <c r="AB19" s="5">
        <f t="shared" si="1"/>
        <v>1.8041372170385594</v>
      </c>
    </row>
    <row r="20" spans="1:28" s="5" customFormat="1" ht="14" x14ac:dyDescent="0.15">
      <c r="A20" s="5">
        <v>110</v>
      </c>
      <c r="B20" s="5">
        <v>2700</v>
      </c>
      <c r="C20" s="5">
        <f t="shared" si="2"/>
        <v>3.1415926535897927</v>
      </c>
      <c r="D20" s="7">
        <v>0.17516940869632891</v>
      </c>
      <c r="E20" s="7">
        <v>0.60271324291192219</v>
      </c>
      <c r="F20" s="7">
        <v>7.0248684091809968E-2</v>
      </c>
      <c r="G20" s="7">
        <v>4.2232501654328219E-4</v>
      </c>
      <c r="H20" s="6">
        <v>8.2646396588274537E-2</v>
      </c>
      <c r="I20" s="8">
        <f t="shared" si="3"/>
        <v>0.19974174324899596</v>
      </c>
      <c r="J20" s="8">
        <f t="shared" si="4"/>
        <v>0.68726037676580853</v>
      </c>
      <c r="K20" s="8">
        <f t="shared" si="5"/>
        <v>0.8870021200148045</v>
      </c>
      <c r="L20" s="8">
        <f t="shared" si="6"/>
        <v>0.17740042400296091</v>
      </c>
      <c r="M20" s="11">
        <f t="shared" si="7"/>
        <v>0.45449089711866431</v>
      </c>
      <c r="N20" s="11">
        <f>ATAN($M20+$F20-$D20*SIN($H20))</f>
        <v>0.47183690306524173</v>
      </c>
      <c r="O20" s="5">
        <f>($D20*$C20*COS($H20))+($D20*C20*($F20+$D20*COS($H20))*SIN($H20))/(SQRT($E20^2-($F20+$D20*COS($H20)^2)))</f>
        <v>0.58066850405479009</v>
      </c>
      <c r="P20" s="5">
        <f>(-$D20*$C20^2*SIN($H20))+(-$D20*$C20^2*($F20+$D20*COS($H20))*COS($H20)+$D20^2*C20^2*(SIN($H20))^2)/SQRT($E20^2-($F20+$D20*COS($H20))^2)+($D20^2*C20^2*($F20+$D20*COS($H20))^2*(SIN($H20))^2)/($E20^2-($F20+$D20*COS($H20))^2)^3/2</f>
        <v>-0.90264537915442988</v>
      </c>
      <c r="Q20" s="5">
        <f t="shared" si="8"/>
        <v>109.83987032701368</v>
      </c>
      <c r="R20" s="12">
        <f t="shared" si="9"/>
        <v>-0.16012967298630928</v>
      </c>
      <c r="S20" s="12">
        <f t="shared" si="10"/>
        <v>109.67974065402737</v>
      </c>
      <c r="T20" s="12">
        <f>($R20+$A20)/COS($N20)</f>
        <v>123.31376400669978</v>
      </c>
      <c r="U20" s="12">
        <f t="shared" si="11"/>
        <v>-0.34414538125367111</v>
      </c>
      <c r="V20" s="12">
        <f t="shared" si="12"/>
        <v>-2.8507310938796278E-2</v>
      </c>
      <c r="W20" s="12">
        <f t="shared" si="13"/>
        <v>64.92520061319459</v>
      </c>
      <c r="X20" s="12">
        <f>$I20*(C20^2)*$D20</f>
        <v>0.34532406550253036</v>
      </c>
      <c r="Y20" s="5">
        <f>$W20*$D20</f>
        <v>11.372909000903828</v>
      </c>
      <c r="Z20" s="5">
        <f>$Y20*C20</f>
        <v>35.729047367184698</v>
      </c>
      <c r="AA20" s="13">
        <f t="shared" si="0"/>
        <v>0.41264403592952753</v>
      </c>
      <c r="AB20" s="5">
        <f t="shared" si="1"/>
        <v>1.7125902857234792</v>
      </c>
    </row>
    <row r="21" spans="1:28" s="5" customFormat="1" ht="14" x14ac:dyDescent="0.15">
      <c r="A21" s="5">
        <v>110</v>
      </c>
      <c r="B21" s="5">
        <v>2700</v>
      </c>
      <c r="C21" s="5">
        <f t="shared" si="2"/>
        <v>3.1415926535897927</v>
      </c>
      <c r="D21" s="7">
        <v>0.1277461170270702</v>
      </c>
      <c r="E21" s="7">
        <v>0.58793873221023685</v>
      </c>
      <c r="F21" s="7">
        <v>6.0783743600080202E-2</v>
      </c>
      <c r="G21" s="7">
        <v>3.1509071574217437E-4</v>
      </c>
      <c r="H21" s="6">
        <v>1.1068208479869568</v>
      </c>
      <c r="I21" s="8">
        <f t="shared" si="3"/>
        <v>0.10867936170782642</v>
      </c>
      <c r="J21" s="8">
        <f t="shared" si="4"/>
        <v>0.50018589705060923</v>
      </c>
      <c r="K21" s="8">
        <f t="shared" si="5"/>
        <v>0.60886525875843567</v>
      </c>
      <c r="L21" s="8">
        <f t="shared" si="6"/>
        <v>0.12177305175168714</v>
      </c>
      <c r="M21" s="11">
        <f t="shared" si="7"/>
        <v>0.65479553847104344</v>
      </c>
      <c r="N21" s="11">
        <f>ATAN($M21+$F21-$D21*SIN($H21))</f>
        <v>0.54140305061043537</v>
      </c>
      <c r="O21" s="5">
        <f>($D21*$C21*COS($H21))+($D21*C21*($F21+$D21*COS($H21))*SIN($H21))/(SQRT($E21^2-($F21+$D21*COS($H21)^2)))</f>
        <v>0.26272803567655212</v>
      </c>
      <c r="P21" s="5">
        <f>(-$D21*$C21^2*SIN($H21))+(-$D21*$C21^2*($F21+$D21*COS($H21))*COS($H21)+$D21^2*C21^2*(SIN($H21))^2)/SQRT($E21^2-($F21+$D21*COS($H21))^2)+($D21^2*C21^2*($F21+$D21*COS($H21))^2*(SIN($H21))^2)/($E21^2-($F21+$D21*COS($H21))^2)^3/2</f>
        <v>-0.99488451712016701</v>
      </c>
      <c r="Q21" s="5">
        <f t="shared" si="8"/>
        <v>109.87884987620977</v>
      </c>
      <c r="R21" s="12">
        <f t="shared" si="9"/>
        <v>-0.12115012379022637</v>
      </c>
      <c r="S21" s="12">
        <f t="shared" si="10"/>
        <v>109.75769975241954</v>
      </c>
      <c r="T21" s="12">
        <f>($R21+$A21)/COS($N21)</f>
        <v>128.2153833518785</v>
      </c>
      <c r="U21" s="12">
        <f t="shared" si="11"/>
        <v>-6.131887775730914E-2</v>
      </c>
      <c r="V21" s="12">
        <f t="shared" si="12"/>
        <v>-0.12253729834164674</v>
      </c>
      <c r="W21" s="12">
        <f t="shared" si="13"/>
        <v>127.8312478553116</v>
      </c>
      <c r="X21" s="12">
        <f>$I21*(C21^2)*$D21</f>
        <v>0.13702333470721534</v>
      </c>
      <c r="Y21" s="5">
        <f>$W21*$D21</f>
        <v>16.329945548241053</v>
      </c>
      <c r="Z21" s="5">
        <f>$Y21*C21</f>
        <v>51.302036967875431</v>
      </c>
      <c r="AA21" s="13">
        <f t="shared" si="0"/>
        <v>0.49589241664753952</v>
      </c>
      <c r="AB21" s="5">
        <f t="shared" si="1"/>
        <v>1.9226730165667709</v>
      </c>
    </row>
    <row r="22" spans="1:28" s="5" customFormat="1" ht="14" x14ac:dyDescent="0.15">
      <c r="A22" s="5">
        <v>110</v>
      </c>
      <c r="B22" s="5">
        <v>2700</v>
      </c>
      <c r="C22" s="5">
        <f t="shared" si="2"/>
        <v>3.1415926535897927</v>
      </c>
      <c r="D22" s="7">
        <v>0.12213144416696851</v>
      </c>
      <c r="E22" s="7">
        <v>0.6387477816860353</v>
      </c>
      <c r="F22" s="7">
        <v>0.11917775300396667</v>
      </c>
      <c r="G22" s="7">
        <v>1.7547912482062175E-4</v>
      </c>
      <c r="H22" s="6">
        <v>1.5394443805475981</v>
      </c>
      <c r="I22" s="8">
        <f t="shared" si="3"/>
        <v>5.7865101125845309E-2</v>
      </c>
      <c r="J22" s="8">
        <f t="shared" si="4"/>
        <v>0.30263463462072338</v>
      </c>
      <c r="K22" s="8">
        <f t="shared" si="5"/>
        <v>0.36049973574656868</v>
      </c>
      <c r="L22" s="8">
        <f t="shared" si="6"/>
        <v>7.2099947149313739E-2</v>
      </c>
      <c r="M22" s="11">
        <f t="shared" si="7"/>
        <v>0.76888950918972709</v>
      </c>
      <c r="N22" s="11">
        <f>ATAN($M22+$F22-$D22*SIN($H22))</f>
        <v>0.65366009180844098</v>
      </c>
      <c r="O22" s="5">
        <f>($D22*$C22*COS($H22))+($D22*C22*($F22+$D22*COS($H22))*SIN($H22))/(SQRT($E22^2-($F22+$D22*COS($H22)^2)))</f>
        <v>9.982175093785256E-2</v>
      </c>
      <c r="P22" s="5">
        <f>(-$D22*$C22^2*SIN($H22))+(-$D22*$C22^2*($F22+$D22*COS($H22))*COS($H22)+$D22^2*C22^2*(SIN($H22))^2)/SQRT($E22^2-($F22+$D22*COS($H22))^2)+($D22^2*C22^2*($F22+$D22*COS($H22))^2*(SIN($H22))^2)/($E22^2-($F22+$D22*COS($H22))^2)^3/2</f>
        <v>-0.9592217194575321</v>
      </c>
      <c r="Q22" s="5">
        <f t="shared" si="8"/>
        <v>109.93084016472264</v>
      </c>
      <c r="R22" s="12">
        <f t="shared" si="9"/>
        <v>-6.9159835277361914E-2</v>
      </c>
      <c r="S22" s="12">
        <f t="shared" si="10"/>
        <v>109.86168032944528</v>
      </c>
      <c r="T22" s="12">
        <f>($R22+$A22)/COS($N22)</f>
        <v>138.47575733723326</v>
      </c>
      <c r="U22" s="12">
        <f t="shared" si="11"/>
        <v>-2.1864387212982227E-3</v>
      </c>
      <c r="V22" s="12">
        <f t="shared" si="12"/>
        <v>-6.9715681267311994E-2</v>
      </c>
      <c r="W22" s="12">
        <f t="shared" si="13"/>
        <v>112.51642387972122</v>
      </c>
      <c r="X22" s="12">
        <f>$I22*(C22^2)*$D22</f>
        <v>6.9749958629718403E-2</v>
      </c>
      <c r="Y22" s="5">
        <f>$W22*$D22</f>
        <v>13.741793340933135</v>
      </c>
      <c r="Z22" s="5">
        <f>$Y22*C22</f>
        <v>43.171117007024669</v>
      </c>
      <c r="AA22" s="13">
        <f t="shared" si="0"/>
        <v>1.3504210009449336</v>
      </c>
      <c r="AB22" s="5">
        <f t="shared" si="1"/>
        <v>13.255646095918504</v>
      </c>
    </row>
    <row r="23" spans="1:28" s="5" customFormat="1" ht="14" x14ac:dyDescent="0.15">
      <c r="A23" s="5">
        <v>110</v>
      </c>
      <c r="B23" s="5">
        <v>2700</v>
      </c>
      <c r="C23" s="5">
        <f t="shared" si="2"/>
        <v>3.1415926535897927</v>
      </c>
      <c r="D23" s="7">
        <v>0.18793660625394348</v>
      </c>
      <c r="E23" s="7">
        <v>0.49497185947375344</v>
      </c>
      <c r="F23" s="7">
        <v>5.3884123048499315E-2</v>
      </c>
      <c r="G23" s="7">
        <v>3.0075398529006277E-4</v>
      </c>
      <c r="H23" s="6">
        <v>1.5593566298725352</v>
      </c>
      <c r="I23" s="8">
        <f t="shared" si="3"/>
        <v>0.15261124494445966</v>
      </c>
      <c r="J23" s="8">
        <f t="shared" si="4"/>
        <v>0.40193485022654352</v>
      </c>
      <c r="K23" s="8">
        <f t="shared" si="5"/>
        <v>0.55454609517100317</v>
      </c>
      <c r="L23" s="8">
        <f t="shared" si="6"/>
        <v>0.11090921903420065</v>
      </c>
      <c r="M23" s="11">
        <f t="shared" si="7"/>
        <v>0.68365684730329024</v>
      </c>
      <c r="N23" s="11">
        <f>ATAN($M23+$F23-$D23*SIN($H23))</f>
        <v>0.50254885333250865</v>
      </c>
      <c r="O23" s="5">
        <f>($D23*$C23*COS($H23))+($D23*C23*($F23+$D23*COS($H23))*SIN($H23))/(SQRT($E23^2-($F23+$D23*COS($H23)^2)))</f>
        <v>8.2431686380860361E-2</v>
      </c>
      <c r="P23" s="5">
        <f>(-$D23*$C23^2*SIN($H23))+(-$D23*$C23^2*($F23+$D23*COS($H23))*COS($H23)+$D23^2*C23^2*(SIN($H23))^2)/SQRT($E23^2-($F23+$D23*COS($H23))^2)+($D23^2*C23^2*($F23+$D23*COS($H23))^2*(SIN($H23))^2)/($E23^2-($F23+$D23*COS($H23))^2)^3/2</f>
        <v>-1.1097399165067439</v>
      </c>
      <c r="Q23" s="5">
        <f t="shared" si="8"/>
        <v>109.87691961252916</v>
      </c>
      <c r="R23" s="12">
        <f t="shared" si="9"/>
        <v>-0.12308038747084199</v>
      </c>
      <c r="S23" s="12">
        <f t="shared" si="10"/>
        <v>109.75383922505833</v>
      </c>
      <c r="T23" s="12">
        <f>($R23+$A23)/COS($N23)</f>
        <v>125.37907318829551</v>
      </c>
      <c r="U23" s="12">
        <f t="shared" si="11"/>
        <v>-3.2381928299908295E-3</v>
      </c>
      <c r="V23" s="12">
        <f t="shared" si="12"/>
        <v>-0.28305396494052026</v>
      </c>
      <c r="W23" s="12">
        <f t="shared" si="13"/>
        <v>110.56056043147665</v>
      </c>
      <c r="X23" s="12">
        <f>$I23*(C23^2)*$D23</f>
        <v>0.28307248711479094</v>
      </c>
      <c r="Y23" s="5">
        <f>$W23*$D23</f>
        <v>20.778376513025751</v>
      </c>
      <c r="Z23" s="5">
        <f>$Y23*C23</f>
        <v>65.277195006844394</v>
      </c>
      <c r="AA23" s="13">
        <f t="shared" si="0"/>
        <v>0.29079543585105627</v>
      </c>
      <c r="AB23" s="5">
        <f t="shared" si="1"/>
        <v>1.4543675522547974</v>
      </c>
    </row>
    <row r="24" spans="1:28" s="5" customFormat="1" ht="14" x14ac:dyDescent="0.15">
      <c r="A24" s="5">
        <v>110</v>
      </c>
      <c r="B24" s="5">
        <v>2700</v>
      </c>
      <c r="C24" s="5">
        <f t="shared" si="2"/>
        <v>3.1415926535897927</v>
      </c>
      <c r="D24" s="7">
        <v>0.14674025865364412</v>
      </c>
      <c r="E24" s="7">
        <v>0.60371070084549416</v>
      </c>
      <c r="F24" s="7">
        <v>0.12962270156324046</v>
      </c>
      <c r="G24" s="7">
        <v>2.9467997381880202E-4</v>
      </c>
      <c r="H24" s="6">
        <v>0.30512494518395389</v>
      </c>
      <c r="I24" s="8">
        <f t="shared" si="3"/>
        <v>0.11675182206119424</v>
      </c>
      <c r="J24" s="8">
        <f t="shared" si="4"/>
        <v>0.48033392450205825</v>
      </c>
      <c r="K24" s="8">
        <f t="shared" si="5"/>
        <v>0.59708574656325253</v>
      </c>
      <c r="L24" s="8">
        <f t="shared" si="6"/>
        <v>0.11941714931265052</v>
      </c>
      <c r="M24" s="11">
        <f t="shared" si="7"/>
        <v>0.53531207768995348</v>
      </c>
      <c r="N24" s="11">
        <f>ATAN($M24+$F24-$D24*SIN($H24))</f>
        <v>0.55561106096609014</v>
      </c>
      <c r="O24" s="5">
        <f>($D24*$C24*COS($H24))+($D24*C24*($F24+$D24*COS($H24))*SIN($H24))/(SQRT($E24^2-($F24+$D24*COS($H24)^2)))</f>
        <v>0.55698003341419722</v>
      </c>
      <c r="P24" s="5">
        <f>(-$D24*$C24^2*SIN($H24))+(-$D24*$C24^2*($F24+$D24*COS($H24))*COS($H24)+$D24^2*C24^2*(SIN($H24))^2)/SQRT($E24^2-($F24+$D24*COS($H24))^2)+($D24^2*C24^2*($F24+$D24*COS($H24))^2*(SIN($H24))^2)/($E24^2-($F24+$D24*COS($H24))^2)^3/2</f>
        <v>-1.0609178274368121</v>
      </c>
      <c r="Q24" s="5">
        <f t="shared" si="8"/>
        <v>109.87330821739252</v>
      </c>
      <c r="R24" s="12">
        <f t="shared" si="9"/>
        <v>-0.12669178260747457</v>
      </c>
      <c r="S24" s="12">
        <f t="shared" si="10"/>
        <v>109.74661643478504</v>
      </c>
      <c r="T24" s="12">
        <f>($R24+$A24)/COS($N24)</f>
        <v>129.32687885437485</v>
      </c>
      <c r="U24" s="12">
        <f t="shared" si="11"/>
        <v>-0.16127769291002214</v>
      </c>
      <c r="V24" s="12">
        <f t="shared" si="12"/>
        <v>-5.0796112615919424E-2</v>
      </c>
      <c r="W24" s="12">
        <f t="shared" si="13"/>
        <v>98.07148927770443</v>
      </c>
      <c r="X24" s="12">
        <f>$I24*(C24^2)*$D24</f>
        <v>0.16908796316494137</v>
      </c>
      <c r="Y24" s="5">
        <f>$W24*$D24</f>
        <v>14.391035703158435</v>
      </c>
      <c r="Z24" s="5">
        <f>$Y24*C24</f>
        <v>45.210772042590953</v>
      </c>
      <c r="AA24" s="13">
        <f t="shared" si="0"/>
        <v>1.0829575296611977</v>
      </c>
      <c r="AB24" s="5">
        <f t="shared" si="1"/>
        <v>5.4398171528141033</v>
      </c>
    </row>
    <row r="25" spans="1:28" s="5" customFormat="1" ht="14" x14ac:dyDescent="0.15">
      <c r="A25" s="5">
        <v>110</v>
      </c>
      <c r="B25" s="5">
        <v>2700</v>
      </c>
      <c r="C25" s="5">
        <f t="shared" si="2"/>
        <v>3.1415926535897927</v>
      </c>
      <c r="D25" s="7">
        <v>9.5174365442690367E-2</v>
      </c>
      <c r="E25" s="7">
        <v>0.42668667185255005</v>
      </c>
      <c r="F25" s="7">
        <v>7.6047921027295642E-2</v>
      </c>
      <c r="G25" s="7">
        <v>2.9865797657939214E-4</v>
      </c>
      <c r="H25" s="6">
        <v>1.9393494024441849</v>
      </c>
      <c r="I25" s="8">
        <f t="shared" si="3"/>
        <v>7.6746375194422123E-2</v>
      </c>
      <c r="J25" s="8">
        <f t="shared" si="4"/>
        <v>0.34407012073196969</v>
      </c>
      <c r="K25" s="8">
        <f t="shared" si="5"/>
        <v>0.42081649592639181</v>
      </c>
      <c r="L25" s="8">
        <f t="shared" si="6"/>
        <v>8.4163299185278373E-2</v>
      </c>
      <c r="M25" s="11">
        <f t="shared" si="7"/>
        <v>0.56009313373726477</v>
      </c>
      <c r="N25" s="11">
        <f>ATAN($M25+$F25-$D25*SIN($H25))</f>
        <v>0.50081229978032338</v>
      </c>
      <c r="O25" s="5">
        <f>($D25*$C25*COS($H25))+($D25*C25*($F25+$D25*COS($H25))*SIN($H25))/(SQRT($E25^2-($F25+$D25*COS($H25)^2)))</f>
        <v>-6.9659869539529878E-2</v>
      </c>
      <c r="P25" s="5">
        <f>(-$D25*$C25^2*SIN($H25))+(-$D25*$C25^2*($F25+$D25*COS($H25))*COS($H25)+$D25^2*C25^2*(SIN($H25))^2)/SQRT($E25^2-($F25+$D25*COS($H25))^2)+($D25^2*C25^2*($F25+$D25*COS($H25))^2*(SIN($H25))^2)/($E25^2-($F25+$D25*COS($H25))^2)^3/2</f>
        <v>-0.64819894123084587</v>
      </c>
      <c r="Q25" s="5">
        <f t="shared" si="8"/>
        <v>109.94544543857761</v>
      </c>
      <c r="R25" s="12">
        <f t="shared" si="9"/>
        <v>-5.4554561422392352E-2</v>
      </c>
      <c r="S25" s="12">
        <f t="shared" si="10"/>
        <v>109.89089087715521</v>
      </c>
      <c r="T25" s="12">
        <f>($R25+$A25)/COS($N25)</f>
        <v>125.33782884848262</v>
      </c>
      <c r="U25" s="12">
        <f t="shared" si="11"/>
        <v>2.5971733735556661E-2</v>
      </c>
      <c r="V25" s="12">
        <f t="shared" si="12"/>
        <v>-6.7249527495472333E-2</v>
      </c>
      <c r="W25" s="12">
        <f t="shared" si="13"/>
        <v>80.881939743873644</v>
      </c>
      <c r="X25" s="12">
        <f>$I25*(C25^2)*$D25</f>
        <v>7.2090428640665893E-2</v>
      </c>
      <c r="Y25" s="5">
        <f>$W25*$D25</f>
        <v>7.6978872908970928</v>
      </c>
      <c r="Z25" s="5">
        <f>$Y25*C25</f>
        <v>24.183626161244536</v>
      </c>
      <c r="AA25" s="13">
        <f t="shared" si="0"/>
        <v>0.92569335668566266</v>
      </c>
      <c r="AB25" s="5">
        <f t="shared" si="1"/>
        <v>3.8699088349536415</v>
      </c>
    </row>
    <row r="26" spans="1:28" s="5" customFormat="1" ht="14" x14ac:dyDescent="0.15">
      <c r="A26" s="5">
        <v>110</v>
      </c>
      <c r="B26" s="5">
        <v>2700</v>
      </c>
      <c r="C26" s="5">
        <f t="shared" si="2"/>
        <v>3.1415926535897927</v>
      </c>
      <c r="D26" s="7">
        <v>0.1468485561730814</v>
      </c>
      <c r="E26" s="7">
        <v>0.74734778438112159</v>
      </c>
      <c r="F26" s="7">
        <v>0.10007880974008651</v>
      </c>
      <c r="G26" s="7">
        <v>2.2997616157324101E-4</v>
      </c>
      <c r="H26" s="6">
        <v>0.94164388345029526</v>
      </c>
      <c r="I26" s="8">
        <f t="shared" si="3"/>
        <v>9.1183501659395857E-2</v>
      </c>
      <c r="J26" s="8">
        <f t="shared" si="4"/>
        <v>0.46405487199303858</v>
      </c>
      <c r="K26" s="8">
        <f t="shared" si="5"/>
        <v>0.55523837365243445</v>
      </c>
      <c r="L26" s="8">
        <f t="shared" si="6"/>
        <v>0.11104767473048689</v>
      </c>
      <c r="M26" s="11">
        <f t="shared" si="7"/>
        <v>0.81308678918041977</v>
      </c>
      <c r="N26" s="11">
        <f>ATAN($M26+$F26-$D26*SIN($H26))</f>
        <v>0.67133820668646782</v>
      </c>
      <c r="O26" s="5">
        <f>($D26*$C26*COS($H26))+($D26*C26*($F26+$D26*COS($H26))*SIN($H26))/(SQRT($E26^2-($F26+$D26*COS($H26)^2)))</f>
        <v>0.38043742385185353</v>
      </c>
      <c r="P26" s="5">
        <f>(-$D26*$C26^2*SIN($H26))+(-$D26*$C26^2*($F26+$D26*COS($H26))*COS($H26)+$D26^2*C26^2*(SIN($H26))^2)/SQRT($E26^2-($F26+$D26*COS($H26))^2)+($D26^2*C26^2*($F26+$D26*COS($H26))^2*(SIN($H26))^2)/($E26^2-($F26+$D26*COS($H26))^2)^3/2</f>
        <v>-1.182516979129661</v>
      </c>
      <c r="Q26" s="5">
        <f t="shared" si="8"/>
        <v>109.86868423913833</v>
      </c>
      <c r="R26" s="12">
        <f t="shared" si="9"/>
        <v>-0.13131576086166855</v>
      </c>
      <c r="S26" s="12">
        <f t="shared" si="10"/>
        <v>109.73736847827666</v>
      </c>
      <c r="T26" s="12">
        <f>($R26+$A26)/COS($N26)</f>
        <v>140.31940422676107</v>
      </c>
      <c r="U26" s="12">
        <f t="shared" si="11"/>
        <v>-7.7768266146742884E-2</v>
      </c>
      <c r="V26" s="12">
        <f t="shared" si="12"/>
        <v>-0.10685134145376192</v>
      </c>
      <c r="W26" s="12">
        <f t="shared" si="13"/>
        <v>140.19456382658026</v>
      </c>
      <c r="X26" s="12">
        <f>$I26*(C26^2)*$D26</f>
        <v>0.13215563699645602</v>
      </c>
      <c r="Y26" s="5">
        <f>$W26*$D26</f>
        <v>20.587369281248218</v>
      </c>
      <c r="Z26" s="5">
        <f>$Y26*C26</f>
        <v>64.677128090709573</v>
      </c>
      <c r="AA26" s="13">
        <f t="shared" si="0"/>
        <v>0.74982450529140088</v>
      </c>
      <c r="AB26" s="5">
        <f t="shared" si="1"/>
        <v>2.8266753758203338</v>
      </c>
    </row>
    <row r="27" spans="1:28" s="5" customFormat="1" ht="14" x14ac:dyDescent="0.15">
      <c r="A27" s="5">
        <v>110</v>
      </c>
      <c r="B27" s="5">
        <v>2700</v>
      </c>
      <c r="C27" s="5">
        <f t="shared" si="2"/>
        <v>3.1415926535897927</v>
      </c>
      <c r="D27" s="7">
        <v>0.16183309740020579</v>
      </c>
      <c r="E27" s="7">
        <v>0.69366925338219776</v>
      </c>
      <c r="F27" s="7">
        <v>0.13786011960024808</v>
      </c>
      <c r="G27" s="7">
        <v>1.0327923024711781E-4</v>
      </c>
      <c r="H27" s="6">
        <v>8.0462657206234287E-2</v>
      </c>
      <c r="I27" s="8">
        <f t="shared" si="3"/>
        <v>4.5127793865600258E-2</v>
      </c>
      <c r="J27" s="8">
        <f t="shared" si="4"/>
        <v>0.19343239164559703</v>
      </c>
      <c r="K27" s="8">
        <f t="shared" si="5"/>
        <v>0.23856018551119729</v>
      </c>
      <c r="L27" s="8">
        <f t="shared" si="6"/>
        <v>4.7712037102239459E-2</v>
      </c>
      <c r="M27" s="11">
        <f t="shared" si="7"/>
        <v>0.59513541506116685</v>
      </c>
      <c r="N27" s="11">
        <f>ATAN($M27+$F27-$D27*SIN($H27))</f>
        <v>0.62401518926872324</v>
      </c>
      <c r="O27" s="5">
        <f>($D27*$C27*COS($H27))+($D27*C27*($F27+$D27*COS($H27))*SIN($H27))/(SQRT($E27^2-($F27+$D27*COS($H27)^2)))</f>
        <v>0.53538378278582743</v>
      </c>
      <c r="P27" s="5">
        <f>(-$D27*$C27^2*SIN($H27))+(-$D27*$C27^2*($F27+$D27*COS($H27))*COS($H27)+$D27^2*C27^2*(SIN($H27))^2)/SQRT($E27^2-($F27+$D27*COS($H27))^2)+($D27^2*C27^2*($F27+$D27*COS($H27))^2*(SIN($H27))^2)/($E27^2-($F27+$D27*COS($H27))^2)^3/2</f>
        <v>-0.88551903860587555</v>
      </c>
      <c r="Q27" s="5">
        <f t="shared" si="8"/>
        <v>109.95775008277531</v>
      </c>
      <c r="R27" s="12">
        <f t="shared" si="9"/>
        <v>-4.2249917224702949E-2</v>
      </c>
      <c r="S27" s="12">
        <f t="shared" si="10"/>
        <v>109.9155001655506</v>
      </c>
      <c r="T27" s="12">
        <f>($R27+$A27)/COS($N27)</f>
        <v>135.49288293403583</v>
      </c>
      <c r="U27" s="12">
        <f t="shared" si="11"/>
        <v>-7.1846201491959846E-2</v>
      </c>
      <c r="V27" s="12">
        <f t="shared" si="12"/>
        <v>-5.7934443968664061E-3</v>
      </c>
      <c r="W27" s="12">
        <f t="shared" si="13"/>
        <v>87.750077275485893</v>
      </c>
      <c r="X27" s="12">
        <f>$I27*(C27^2)*$D27</f>
        <v>7.2079405288909507E-2</v>
      </c>
      <c r="Y27" s="5">
        <f>$W27*$D27</f>
        <v>14.200866802599293</v>
      </c>
      <c r="Z27" s="5">
        <f>$Y27*C27</f>
        <v>44.613338821653109</v>
      </c>
      <c r="AA27" s="13">
        <f t="shared" si="0"/>
        <v>1.0195378141747349</v>
      </c>
      <c r="AB27" s="5">
        <f t="shared" si="1"/>
        <v>4.6989462868475851</v>
      </c>
    </row>
    <row r="28" spans="1:28" s="5" customFormat="1" ht="14" x14ac:dyDescent="0.15">
      <c r="A28" s="5">
        <v>110</v>
      </c>
      <c r="B28" s="5">
        <v>2700</v>
      </c>
      <c r="C28" s="5">
        <f t="shared" si="2"/>
        <v>3.1415926535897927</v>
      </c>
      <c r="D28" s="7">
        <v>0.1386467209881618</v>
      </c>
      <c r="E28" s="7">
        <v>0.72778918664731329</v>
      </c>
      <c r="F28" s="7">
        <v>0.11059239265903556</v>
      </c>
      <c r="G28" s="7">
        <v>2.1796983468829728E-4</v>
      </c>
      <c r="H28" s="6">
        <v>1.226056816361498</v>
      </c>
      <c r="I28" s="8">
        <f t="shared" si="3"/>
        <v>8.1596167705433084E-2</v>
      </c>
      <c r="J28" s="8">
        <f t="shared" si="4"/>
        <v>0.42831743949390205</v>
      </c>
      <c r="K28" s="8">
        <f t="shared" si="5"/>
        <v>0.50991360719933509</v>
      </c>
      <c r="L28" s="8">
        <f t="shared" si="6"/>
        <v>0.10198272143986703</v>
      </c>
      <c r="M28" s="11">
        <f t="shared" si="7"/>
        <v>0.83408848706211502</v>
      </c>
      <c r="N28" s="11">
        <f>ATAN($M28+$F28-$D28*SIN($H28))</f>
        <v>0.68333467841994666</v>
      </c>
      <c r="O28" s="5">
        <f>($D28*$C28*COS($H28))+($D28*C28*($F28+$D28*COS($H28))*SIN($H28))/(SQRT($E28^2-($F28+$D28*COS($H28)^2)))</f>
        <v>0.24884457674033308</v>
      </c>
      <c r="P28" s="5">
        <f>(-$D28*$C28^2*SIN($H28))+(-$D28*$C28^2*($F28+$D28*COS($H28))*COS($H28)+$D28^2*C28^2*(SIN($H28))^2)/SQRT($E28^2-($F28+$D28*COS($H28))^2)+($D28^2*C28^2*($F28+$D28*COS($H28))^2*(SIN($H28))^2)/($E28^2-($F28+$D28*COS($H28))^2)^3/2</f>
        <v>-1.1376526523202179</v>
      </c>
      <c r="Q28" s="5">
        <f t="shared" si="8"/>
        <v>109.88397908646309</v>
      </c>
      <c r="R28" s="12">
        <f t="shared" si="9"/>
        <v>-0.11602091353689868</v>
      </c>
      <c r="S28" s="12">
        <f t="shared" si="10"/>
        <v>109.76795817292619</v>
      </c>
      <c r="T28" s="12">
        <f>($R28+$A28)/COS($N28)</f>
        <v>141.69955724625027</v>
      </c>
      <c r="U28" s="12">
        <f t="shared" si="11"/>
        <v>-3.7734058751003587E-2</v>
      </c>
      <c r="V28" s="12">
        <f t="shared" si="12"/>
        <v>-0.10508583860669704</v>
      </c>
      <c r="W28" s="12">
        <f t="shared" si="13"/>
        <v>133.6541721532632</v>
      </c>
      <c r="X28" s="12">
        <f>$I28*(C28^2)*$D28</f>
        <v>0.11165524020616752</v>
      </c>
      <c r="Y28" s="5">
        <f>$W28*$D28</f>
        <v>18.530712715437229</v>
      </c>
      <c r="Z28" s="5">
        <f>$Y28*C28</f>
        <v>58.215950932600556</v>
      </c>
      <c r="AA28" s="13">
        <f t="shared" si="0"/>
        <v>0.9233987087875164</v>
      </c>
      <c r="AB28" s="5">
        <f t="shared" si="1"/>
        <v>3.8526478414598984</v>
      </c>
    </row>
    <row r="29" spans="1:28" s="5" customFormat="1" ht="14" x14ac:dyDescent="0.15">
      <c r="A29" s="5">
        <v>110</v>
      </c>
      <c r="B29" s="5">
        <v>2700</v>
      </c>
      <c r="C29" s="5">
        <f t="shared" si="2"/>
        <v>3.1415926535897927</v>
      </c>
      <c r="D29" s="7">
        <v>0.13178030858879136</v>
      </c>
      <c r="E29" s="7">
        <v>0.39995702246195974</v>
      </c>
      <c r="F29" s="7">
        <v>0.10520776270451684</v>
      </c>
      <c r="G29" s="7">
        <v>2.5806719949069133E-4</v>
      </c>
      <c r="H29" s="6">
        <v>0.90079736718606629</v>
      </c>
      <c r="I29" s="8">
        <f t="shared" si="3"/>
        <v>9.1822073000926901E-2</v>
      </c>
      <c r="J29" s="8">
        <f t="shared" si="4"/>
        <v>0.27868262949916239</v>
      </c>
      <c r="K29" s="8">
        <f t="shared" si="5"/>
        <v>0.37050470250008927</v>
      </c>
      <c r="L29" s="8">
        <f t="shared" si="6"/>
        <v>7.4100940500017851E-2</v>
      </c>
      <c r="M29" s="11">
        <f t="shared" si="7"/>
        <v>0.40195716766698691</v>
      </c>
      <c r="N29" s="11">
        <f>ATAN($M29+$F29-$D29*SIN($H29))</f>
        <v>0.38384034732231659</v>
      </c>
      <c r="O29" s="5">
        <f>($D29*$C29*COS($H29))+($D29*C29*($F29+$D29*COS($H29))*SIN($H29))/(SQRT($E29^2-($F29+$D29*COS($H29)^2)))</f>
        <v>1.2239975178599438</v>
      </c>
      <c r="P29" s="5">
        <f>(-$D29*$C29^2*SIN($H29))+(-$D29*$C29^2*($F29+$D29*COS($H29))*COS($H29)+$D29^2*C29^2*(SIN($H29))^2)/SQRT($E29^2-($F29+$D29*COS($H29))^2)+($D29^2*C29^2*($F29+$D29*COS($H29))^2*(SIN($H29))^2)/($E29^2-($F29+$D29*COS($H29))^2)^3/2</f>
        <v>-0.20539415902870484</v>
      </c>
      <c r="Q29" s="5">
        <f t="shared" si="8"/>
        <v>109.98478009964276</v>
      </c>
      <c r="R29" s="12">
        <f t="shared" si="9"/>
        <v>-1.5219900357237262E-2</v>
      </c>
      <c r="S29" s="12">
        <f t="shared" si="10"/>
        <v>109.96956019928552</v>
      </c>
      <c r="T29" s="12">
        <f>($R29+$A29)/COS($N29)</f>
        <v>118.61607734630893</v>
      </c>
      <c r="U29" s="12">
        <f t="shared" si="11"/>
        <v>-7.4161514238717322E-2</v>
      </c>
      <c r="V29" s="12">
        <f t="shared" si="12"/>
        <v>-9.3608434163803808E-2</v>
      </c>
      <c r="W29" s="12">
        <f t="shared" si="13"/>
        <v>113.79258494291244</v>
      </c>
      <c r="X29" s="12">
        <f>$I29*(C29^2)*$D29</f>
        <v>0.11942557992649089</v>
      </c>
      <c r="Y29" s="5">
        <f>$W29*$D29</f>
        <v>14.995621958893254</v>
      </c>
      <c r="Z29" s="5">
        <f>$Y29*C29</f>
        <v>47.110135782068824</v>
      </c>
      <c r="AA29" s="13">
        <f t="shared" si="0"/>
        <v>0.92456225122323898</v>
      </c>
      <c r="AB29" s="5">
        <f t="shared" si="1"/>
        <v>3.8613850187499716</v>
      </c>
    </row>
    <row r="30" spans="1:28" s="5" customFormat="1" ht="14" x14ac:dyDescent="0.15">
      <c r="A30" s="5">
        <v>110</v>
      </c>
      <c r="B30" s="5">
        <v>2700</v>
      </c>
      <c r="C30" s="5">
        <f t="shared" si="2"/>
        <v>3.1415926535897927</v>
      </c>
      <c r="D30" s="7">
        <v>0.15015604935850135</v>
      </c>
      <c r="E30" s="7">
        <v>0.50887102277887908</v>
      </c>
      <c r="F30" s="7">
        <v>0.1053937796570915</v>
      </c>
      <c r="G30" s="7">
        <v>2.2103572662458633E-4</v>
      </c>
      <c r="H30" s="6">
        <v>1.4146225178650775</v>
      </c>
      <c r="I30" s="8">
        <f t="shared" si="3"/>
        <v>8.9612598987990719E-2</v>
      </c>
      <c r="J30" s="8">
        <f t="shared" si="4"/>
        <v>0.30369242595094009</v>
      </c>
      <c r="K30" s="8">
        <f t="shared" si="5"/>
        <v>0.39330502493893083</v>
      </c>
      <c r="L30" s="8">
        <f t="shared" si="6"/>
        <v>7.8661004987786165E-2</v>
      </c>
      <c r="M30" s="11">
        <f t="shared" si="7"/>
        <v>0.64501998420917561</v>
      </c>
      <c r="N30" s="11">
        <f>ATAN($M30+$F30-$D30*SIN($H30))</f>
        <v>0.54195130174317019</v>
      </c>
      <c r="O30" s="5">
        <f>($D30*$C30*COS($H30))+($D30*C30*($F30+$D30*COS($H30))*SIN($H30))/(SQRT($E30^2-($F30+$D30*COS($H30)^2)))</f>
        <v>0.22831996616842065</v>
      </c>
      <c r="P30" s="5">
        <f>(-$D30*$C30^2*SIN($H30))+(-$D30*$C30^2*($F30+$D30*COS($H30))*COS($H30)+$D30^2*C30^2*(SIN($H30))^2)/SQRT($E30^2-($F30+$D30*COS($H30))^2)+($D30^2*C30^2*($F30+$D30*COS($H30))^2*(SIN($H30))^2)/($E30^2-($F30+$D30*COS($H30))^2)^3/2</f>
        <v>-0.9567551862702437</v>
      </c>
      <c r="Q30" s="5">
        <f t="shared" si="8"/>
        <v>109.92474067552071</v>
      </c>
      <c r="R30" s="12">
        <f t="shared" si="9"/>
        <v>-7.5259324479293926E-2</v>
      </c>
      <c r="S30" s="12">
        <f t="shared" si="10"/>
        <v>109.84948135104142</v>
      </c>
      <c r="T30" s="12">
        <f>($R30+$A30)/COS($N30)</f>
        <v>128.31125389668813</v>
      </c>
      <c r="U30" s="12">
        <f t="shared" si="11"/>
        <v>-2.0656321812986364E-2</v>
      </c>
      <c r="V30" s="12">
        <f t="shared" si="12"/>
        <v>-0.13118787696272219</v>
      </c>
      <c r="W30" s="12">
        <f t="shared" si="13"/>
        <v>118.88116688243244</v>
      </c>
      <c r="X30" s="12">
        <f>$I30*(C30^2)*$D30</f>
        <v>0.13280415164002965</v>
      </c>
      <c r="Y30" s="5">
        <f>$W30*$D30</f>
        <v>17.850726362194763</v>
      </c>
      <c r="Z30" s="5">
        <f>$Y30*C30</f>
        <v>56.079710800712711</v>
      </c>
      <c r="AA30" s="13">
        <f t="shared" si="0"/>
        <v>0.77805448471899774</v>
      </c>
      <c r="AB30" s="5">
        <f t="shared" si="1"/>
        <v>2.9629454216307285</v>
      </c>
    </row>
    <row r="31" spans="1:28" s="5" customFormat="1" ht="14" x14ac:dyDescent="0.15">
      <c r="A31" s="5">
        <v>110</v>
      </c>
      <c r="B31" s="5">
        <v>2700</v>
      </c>
      <c r="C31" s="5">
        <f t="shared" si="2"/>
        <v>3.1415926535897927</v>
      </c>
      <c r="D31" s="7">
        <v>0.16840337212117867</v>
      </c>
      <c r="E31" s="7">
        <v>0.70674751775030509</v>
      </c>
      <c r="F31" s="7">
        <v>0.12808159735223118</v>
      </c>
      <c r="G31" s="7">
        <v>3.1662408303559933E-4</v>
      </c>
      <c r="H31" s="6">
        <v>0.98497708817883634</v>
      </c>
      <c r="I31" s="8">
        <f t="shared" si="3"/>
        <v>0.14396552085052172</v>
      </c>
      <c r="J31" s="8">
        <f t="shared" si="4"/>
        <v>0.60418786881251607</v>
      </c>
      <c r="K31" s="8">
        <f t="shared" si="5"/>
        <v>0.74815338966303779</v>
      </c>
      <c r="L31" s="8">
        <f t="shared" si="6"/>
        <v>0.14963067793260756</v>
      </c>
      <c r="M31" s="11">
        <f t="shared" si="7"/>
        <v>0.7905465212300028</v>
      </c>
      <c r="N31" s="11">
        <f>ATAN($M31+$F31-$D31*SIN($H31))</f>
        <v>0.66137122489890632</v>
      </c>
      <c r="O31" s="5">
        <f>($D31*$C31*COS($H31))+($D31*C31*($F31+$D31*COS($H31))*SIN($H31))/(SQRT($E31^2-($F31+$D31*COS($H31)^2)))</f>
        <v>0.464895934610559</v>
      </c>
      <c r="P31" s="5">
        <f>(-$D31*$C31^2*SIN($H31))+(-$D31*$C31^2*($F31+$D31*COS($H31))*COS($H31)+$D31^2*C31^2*(SIN($H31))^2)/SQRT($E31^2-($F31+$D31*COS($H31))^2)+($D31^2*C31^2*($F31+$D31*COS($H31))^2*(SIN($H31))^2)/($E31^2-($F31+$D31*COS($H31))^2)^3/2</f>
        <v>-1.3462514512691577</v>
      </c>
      <c r="Q31" s="5">
        <f t="shared" si="8"/>
        <v>109.79855948267884</v>
      </c>
      <c r="R31" s="12">
        <f t="shared" si="9"/>
        <v>-0.20144051732116086</v>
      </c>
      <c r="S31" s="12">
        <f t="shared" si="10"/>
        <v>109.59711896535768</v>
      </c>
      <c r="T31" s="12">
        <f>($R31+$A31)/COS($N31)</f>
        <v>139.13508538386697</v>
      </c>
      <c r="U31" s="12">
        <f t="shared" si="11"/>
        <v>-0.13229445291034736</v>
      </c>
      <c r="V31" s="12">
        <f t="shared" si="12"/>
        <v>-0.19938351840425358</v>
      </c>
      <c r="W31" s="12">
        <f t="shared" si="13"/>
        <v>138.73817556443734</v>
      </c>
      <c r="X31" s="12">
        <f>$I31*(C31^2)*$D31</f>
        <v>0.23928144450021074</v>
      </c>
      <c r="Y31" s="5">
        <f>$W31*$D31</f>
        <v>23.363976606991361</v>
      </c>
      <c r="Z31" s="5">
        <f>$Y31*C31</f>
        <v>73.400097267167837</v>
      </c>
      <c r="AA31" s="13">
        <f t="shared" si="0"/>
        <v>0.86418185426789651</v>
      </c>
      <c r="AB31" s="5">
        <f t="shared" si="1"/>
        <v>3.4459783598187648</v>
      </c>
    </row>
    <row r="32" spans="1:28" s="5" customFormat="1" ht="14" x14ac:dyDescent="0.15">
      <c r="A32" s="5">
        <v>110</v>
      </c>
      <c r="B32" s="5">
        <v>2700</v>
      </c>
      <c r="C32" s="5">
        <f t="shared" si="2"/>
        <v>3.1415926535897927</v>
      </c>
      <c r="D32" s="7">
        <v>0.14756595356828361</v>
      </c>
      <c r="E32" s="7">
        <v>0.6328624968041513</v>
      </c>
      <c r="F32" s="7">
        <v>0.12624570136816071</v>
      </c>
      <c r="G32" s="7">
        <v>2.9078832489251068E-4</v>
      </c>
      <c r="H32" s="6">
        <v>1.4536750389229482</v>
      </c>
      <c r="I32" s="8">
        <f t="shared" si="3"/>
        <v>0.11585823241307544</v>
      </c>
      <c r="J32" s="8">
        <f t="shared" si="4"/>
        <v>0.49687836839902183</v>
      </c>
      <c r="K32" s="8">
        <f t="shared" si="5"/>
        <v>0.61273660081209724</v>
      </c>
      <c r="L32" s="8">
        <f t="shared" si="6"/>
        <v>0.12254732016241945</v>
      </c>
      <c r="M32" s="11">
        <f t="shared" si="7"/>
        <v>0.77838511021638657</v>
      </c>
      <c r="N32" s="11">
        <f>ATAN($M32+$F32-$D32*SIN($H32))</f>
        <v>0.64864962508673696</v>
      </c>
      <c r="O32" s="5">
        <f>($D32*$C32*COS($H32))+($D32*C32*($F32+$D32*COS($H32))*SIN($H32))/(SQRT($E32^2-($F32+$D32*COS($H32)^2)))</f>
        <v>0.18078676242324096</v>
      </c>
      <c r="P32" s="5">
        <f>(-$D32*$C32^2*SIN($H32))+(-$D32*$C32^2*($F32+$D32*COS($H32))*COS($H32)+$D32^2*C32^2*(SIN($H32))^2)/SQRT($E32^2-($F32+$D32*COS($H32))^2)+($D32^2*C32^2*($F32+$D32*COS($H32))^2*(SIN($H32))^2)/($E32^2-($F32+$D32*COS($H32))^2)^3/2</f>
        <v>-1.1023493242246258</v>
      </c>
      <c r="Q32" s="5">
        <f t="shared" si="8"/>
        <v>109.8649100444334</v>
      </c>
      <c r="R32" s="12">
        <f t="shared" si="9"/>
        <v>-0.13508995556658196</v>
      </c>
      <c r="S32" s="12">
        <f t="shared" si="10"/>
        <v>109.72982008886682</v>
      </c>
      <c r="T32" s="12">
        <f>($R32+$A32)/COS($N32)</f>
        <v>137.86531377345094</v>
      </c>
      <c r="U32" s="12">
        <f t="shared" si="11"/>
        <v>-1.9717656612929534E-2</v>
      </c>
      <c r="V32" s="12">
        <f t="shared" si="12"/>
        <v>-0.16758196661557992</v>
      </c>
      <c r="W32" s="12">
        <f t="shared" si="13"/>
        <v>118.84451037424937</v>
      </c>
      <c r="X32" s="12">
        <f>$I32*(C32^2)*$D32</f>
        <v>0.16873796702891364</v>
      </c>
      <c r="Y32" s="5">
        <f>$W32*$D32</f>
        <v>17.537403499731884</v>
      </c>
      <c r="Z32" s="5">
        <f>$Y32*C32</f>
        <v>55.095377997797605</v>
      </c>
      <c r="AA32" s="13">
        <f t="shared" si="0"/>
        <v>1.0265553200147117</v>
      </c>
      <c r="AB32" s="5">
        <f t="shared" si="1"/>
        <v>4.7724291526210934</v>
      </c>
    </row>
    <row r="33" spans="1:28" s="5" customFormat="1" ht="14" x14ac:dyDescent="0.15">
      <c r="A33" s="5">
        <v>110</v>
      </c>
      <c r="B33" s="5">
        <v>2700</v>
      </c>
      <c r="C33" s="5">
        <f t="shared" si="2"/>
        <v>3.1415926535897927</v>
      </c>
      <c r="D33" s="7">
        <v>6.954739953609701E-2</v>
      </c>
      <c r="E33" s="7">
        <v>0.40411809302799173</v>
      </c>
      <c r="F33" s="7">
        <v>6.2706537963449493E-2</v>
      </c>
      <c r="G33" s="7">
        <v>3.0002842419856222E-4</v>
      </c>
      <c r="H33" s="6">
        <v>1.9288314556401174</v>
      </c>
      <c r="I33" s="8">
        <f t="shared" si="3"/>
        <v>5.6338731062792108E-2</v>
      </c>
      <c r="J33" s="8">
        <f t="shared" si="4"/>
        <v>0.32736666953155413</v>
      </c>
      <c r="K33" s="8">
        <f t="shared" si="5"/>
        <v>0.38370540059434621</v>
      </c>
      <c r="L33" s="8">
        <f t="shared" si="6"/>
        <v>7.6741080118869251E-2</v>
      </c>
      <c r="M33" s="11">
        <f t="shared" si="7"/>
        <v>0.50287612202215182</v>
      </c>
      <c r="N33" s="11">
        <f>ATAN($M33+$F33-$D33*SIN($H33))</f>
        <v>0.46400391067948071</v>
      </c>
      <c r="O33" s="5">
        <f>($D33*$C33*COS($H33))+($D33*C33*($F33+$D33*COS($H33))*SIN($H33))/(SQRT($E33^2-($F33+$D33*COS($H33)^2)))</f>
        <v>-5.0712429391212378E-2</v>
      </c>
      <c r="P33" s="5">
        <f>(-$D33*$C33^2*SIN($H33))+(-$D33*$C33^2*($F33+$D33*COS($H33))*COS($H33)+$D33^2*C33^2*(SIN($H33))^2)/SQRT($E33^2-($F33+$D33*COS($H33))^2)+($D33^2*C33^2*($F33+$D33*COS($H33))^2*(SIN($H33))^2)/($E33^2-($F33+$D33*COS($H33))^2)^3/2</f>
        <v>-0.50860816126913067</v>
      </c>
      <c r="Q33" s="5">
        <f t="shared" si="8"/>
        <v>109.96096886034694</v>
      </c>
      <c r="R33" s="12">
        <f t="shared" si="9"/>
        <v>-3.9031139653065129E-2</v>
      </c>
      <c r="S33" s="12">
        <f t="shared" si="10"/>
        <v>109.92193772069388</v>
      </c>
      <c r="T33" s="12">
        <f>($R33+$A33)/COS($N33)</f>
        <v>122.96201421237997</v>
      </c>
      <c r="U33" s="12">
        <f t="shared" si="11"/>
        <v>1.3551729630202814E-2</v>
      </c>
      <c r="V33" s="12">
        <f t="shared" si="12"/>
        <v>-3.6218954998436373E-2</v>
      </c>
      <c r="W33" s="12">
        <f t="shared" si="13"/>
        <v>83.703803420621455</v>
      </c>
      <c r="X33" s="12">
        <f>$I33*(C33^2)*$D33</f>
        <v>3.8671204754298465E-2</v>
      </c>
      <c r="Y33" s="5">
        <f>$W33*$D33</f>
        <v>5.8213818591848838</v>
      </c>
      <c r="Z33" s="5">
        <f>$Y33*C33</f>
        <v>18.28841048255612</v>
      </c>
      <c r="AA33" s="13">
        <f t="shared" si="0"/>
        <v>1.123540707872998</v>
      </c>
      <c r="AB33" s="5">
        <f t="shared" si="1"/>
        <v>6.0241546906946501</v>
      </c>
    </row>
    <row r="34" spans="1:28" s="5" customFormat="1" ht="14" x14ac:dyDescent="0.15">
      <c r="A34" s="5">
        <v>110</v>
      </c>
      <c r="B34" s="5">
        <v>2700</v>
      </c>
      <c r="C34" s="5">
        <f t="shared" si="2"/>
        <v>3.1415926535897927</v>
      </c>
      <c r="D34" s="7">
        <v>0.17442478614405305</v>
      </c>
      <c r="E34" s="7">
        <v>0.73394808653965871</v>
      </c>
      <c r="F34" s="7">
        <v>0.11922275618488451</v>
      </c>
      <c r="G34" s="7">
        <v>2.0568533014807706E-4</v>
      </c>
      <c r="H34" s="6">
        <v>1.5009967635341526</v>
      </c>
      <c r="I34" s="8">
        <f t="shared" si="3"/>
        <v>9.6866873254927668E-2</v>
      </c>
      <c r="J34" s="8">
        <f t="shared" si="4"/>
        <v>0.40759835712693959</v>
      </c>
      <c r="K34" s="8">
        <f t="shared" si="5"/>
        <v>0.5044652303818673</v>
      </c>
      <c r="L34" s="8">
        <f t="shared" si="6"/>
        <v>0.10089304607637346</v>
      </c>
      <c r="M34" s="11">
        <f t="shared" si="7"/>
        <v>0.90934281773916803</v>
      </c>
      <c r="N34" s="11">
        <f>ATAN($M34+$F34-$D34*SIN($H34))</f>
        <v>0.70713861514937848</v>
      </c>
      <c r="O34" s="5">
        <f>($D34*$C34*COS($H34))+($D34*C34*($F34+$D34*COS($H34))*SIN($H34))/(SQRT($E34^2-($F34+$D34*COS($H34)^2)))</f>
        <v>0.14922396624346185</v>
      </c>
      <c r="P34" s="5">
        <f>(-$D34*$C34^2*SIN($H34))+(-$D34*$C34^2*($F34+$D34*COS($H34))*COS($H34)+$D34^2*C34^2*(SIN($H34))^2)/SQRT($E34^2-($F34+$D34*COS($H34))^2)+($D34^2*C34^2*($F34+$D34*COS($H34))^2*(SIN($H34))^2)/($E34^2-($F34+$D34*COS($H34))^2)^3/2</f>
        <v>-1.3071492265478941</v>
      </c>
      <c r="Q34" s="5">
        <f t="shared" si="8"/>
        <v>109.8681177328572</v>
      </c>
      <c r="R34" s="12">
        <f t="shared" si="9"/>
        <v>-0.13188226714279261</v>
      </c>
      <c r="S34" s="12">
        <f t="shared" si="10"/>
        <v>109.7362354657144</v>
      </c>
      <c r="T34" s="12">
        <f>($R34+$A34)/COS($N34)</f>
        <v>144.52073316247029</v>
      </c>
      <c r="U34" s="12">
        <f t="shared" si="11"/>
        <v>-1.163009409248766E-2</v>
      </c>
      <c r="V34" s="12">
        <f t="shared" si="12"/>
        <v>-0.16635062199765194</v>
      </c>
      <c r="W34" s="12">
        <f t="shared" si="13"/>
        <v>116.14871510889289</v>
      </c>
      <c r="X34" s="12">
        <f>$I34*(C34^2)*$D34</f>
        <v>0.16675667461186011</v>
      </c>
      <c r="Y34" s="5">
        <f>$W34*$D34</f>
        <v>20.259214793775186</v>
      </c>
      <c r="Z34" s="5">
        <f>$Y34*C34</f>
        <v>63.646200363621773</v>
      </c>
      <c r="AA34" s="13">
        <f t="shared" ref="AA34:AA66" si="14">ASIN($F34/$D34)</f>
        <v>0.75257360380948046</v>
      </c>
      <c r="AB34" s="5">
        <f t="shared" ref="AB34:AB66" si="15">(PI()+2*$AA34)/(PI()-2*$AA34)</f>
        <v>2.8395323978869609</v>
      </c>
    </row>
    <row r="35" spans="1:28" s="5" customFormat="1" ht="14" x14ac:dyDescent="0.15">
      <c r="A35" s="5">
        <v>110</v>
      </c>
      <c r="B35" s="5">
        <v>2700</v>
      </c>
      <c r="C35" s="5">
        <f t="shared" si="2"/>
        <v>3.1415926535897927</v>
      </c>
      <c r="D35" s="7">
        <v>0.18415540785227313</v>
      </c>
      <c r="E35" s="7">
        <v>0.56708787083297241</v>
      </c>
      <c r="F35" s="7">
        <v>0.13282337308517969</v>
      </c>
      <c r="G35" s="7">
        <v>3.766979874186256E-4</v>
      </c>
      <c r="H35" s="6">
        <v>0.96458156371424908</v>
      </c>
      <c r="I35" s="8">
        <f t="shared" si="3"/>
        <v>0.18730162307756013</v>
      </c>
      <c r="J35" s="8">
        <f t="shared" si="4"/>
        <v>0.57677632100719445</v>
      </c>
      <c r="K35" s="8">
        <f t="shared" si="5"/>
        <v>0.7640779440847546</v>
      </c>
      <c r="L35" s="8">
        <f t="shared" si="6"/>
        <v>0.15281558881695093</v>
      </c>
      <c r="M35" s="11">
        <f t="shared" si="7"/>
        <v>0.63539268709204366</v>
      </c>
      <c r="N35" s="11">
        <f>ATAN($M35+$F35-$D35*SIN($H35))</f>
        <v>0.55273541523702419</v>
      </c>
      <c r="O35" s="5">
        <f>($D35*$C35*COS($H35))+($D35*C35*($F35+$D35*COS($H35))*SIN($H35))/(SQRT($E35^2-($F35+$D35*COS($H35)^2)))</f>
        <v>0.64437299422520056</v>
      </c>
      <c r="P35" s="5">
        <f>(-$D35*$C35^2*SIN($H35))+(-$D35*$C35^2*($F35+$D35*COS($H35))*COS($H35)+$D35^2*C35^2*(SIN($H35))^2)/SQRT($E35^2-($F35+$D35*COS($H35))^2)+($D35^2*C35^2*($F35+$D35*COS($H35))^2*(SIN($H35))^2)/($E35^2-($F35+$D35*COS($H35))^2)^3/2</f>
        <v>-1.1897583793490274</v>
      </c>
      <c r="Q35" s="5">
        <f t="shared" si="8"/>
        <v>109.81818637270989</v>
      </c>
      <c r="R35" s="12">
        <f t="shared" si="9"/>
        <v>-0.18181362729012288</v>
      </c>
      <c r="S35" s="12">
        <f t="shared" si="10"/>
        <v>109.63637274541976</v>
      </c>
      <c r="T35" s="12">
        <f>($R35+$A35)/COS($N35)</f>
        <v>129.03216356121965</v>
      </c>
      <c r="U35" s="12">
        <f t="shared" si="11"/>
        <v>-0.19396274880786815</v>
      </c>
      <c r="V35" s="12">
        <f t="shared" si="12"/>
        <v>-0.27976764743730526</v>
      </c>
      <c r="W35" s="12">
        <f t="shared" si="13"/>
        <v>128.84768891839016</v>
      </c>
      <c r="X35" s="12">
        <f>$I35*(C35^2)*$D35</f>
        <v>0.34042838377213569</v>
      </c>
      <c r="Y35" s="5">
        <f>$W35*$D35</f>
        <v>23.727998703588955</v>
      </c>
      <c r="Z35" s="5">
        <f>$Y35*C35</f>
        <v>74.543706411583187</v>
      </c>
      <c r="AA35" s="13">
        <f t="shared" si="14"/>
        <v>0.80561530125698</v>
      </c>
      <c r="AB35" s="5">
        <f t="shared" si="15"/>
        <v>3.1056855158964205</v>
      </c>
    </row>
    <row r="36" spans="1:28" s="5" customFormat="1" ht="14" x14ac:dyDescent="0.15">
      <c r="A36" s="5">
        <v>110</v>
      </c>
      <c r="B36" s="5">
        <v>2700</v>
      </c>
      <c r="C36" s="5">
        <f t="shared" si="2"/>
        <v>3.1415926535897927</v>
      </c>
      <c r="D36" s="7">
        <v>0.1950627034990236</v>
      </c>
      <c r="E36" s="7">
        <v>0.6235607250659152</v>
      </c>
      <c r="F36" s="7">
        <v>0.11762658428149599</v>
      </c>
      <c r="G36" s="7">
        <v>2.2946706161642281E-4</v>
      </c>
      <c r="H36" s="6">
        <v>1.5076331871163318</v>
      </c>
      <c r="I36" s="8">
        <f t="shared" si="3"/>
        <v>0.12085325658776644</v>
      </c>
      <c r="J36" s="8">
        <f t="shared" si="4"/>
        <v>0.38633394776476043</v>
      </c>
      <c r="K36" s="8">
        <f t="shared" si="5"/>
        <v>0.50718720435252684</v>
      </c>
      <c r="L36" s="8">
        <f t="shared" si="6"/>
        <v>0.10143744087050538</v>
      </c>
      <c r="M36" s="11">
        <f t="shared" si="7"/>
        <v>0.81945481253063024</v>
      </c>
      <c r="N36" s="11">
        <f>ATAN($M36+$F36-$D36*SIN($H36))</f>
        <v>0.63862428554549378</v>
      </c>
      <c r="O36" s="5">
        <f>($D36*$C36*COS($H36))+($D36*C36*($F36+$D36*COS($H36))*SIN($H36))/(SQRT($E36^2-($F36+$D36*COS($H36)^2)))</f>
        <v>0.19149911294899247</v>
      </c>
      <c r="P36" s="5">
        <f>(-$D36*$C36^2*SIN($H36))+(-$D36*$C36^2*($F36+$D36*COS($H36))*COS($H36)+$D36^2*C36^2*(SIN($H36))^2)/SQRT($E36^2-($F36+$D36*COS($H36))^2)+($D36^2*C36^2*($F36+$D36*COS($H36))^2*(SIN($H36))^2)/($E36^2-($F36+$D36*COS($H36))^2)^3/2</f>
        <v>-1.272573097793317</v>
      </c>
      <c r="Q36" s="5">
        <f t="shared" si="8"/>
        <v>109.8709134416392</v>
      </c>
      <c r="R36" s="12">
        <f t="shared" si="9"/>
        <v>-0.12908655836080546</v>
      </c>
      <c r="S36" s="12">
        <f t="shared" si="10"/>
        <v>109.74182688327839</v>
      </c>
      <c r="T36" s="12">
        <f>($R36+$A36)/COS($N36)</f>
        <v>136.83976353551694</v>
      </c>
      <c r="U36" s="12">
        <f t="shared" si="11"/>
        <v>-1.468612558611782E-2</v>
      </c>
      <c r="V36" s="12">
        <f t="shared" si="12"/>
        <v>-0.23220172338488884</v>
      </c>
      <c r="W36" s="12">
        <f t="shared" si="13"/>
        <v>114.80054635865488</v>
      </c>
      <c r="X36" s="12">
        <f>$I36*(C36^2)*$D36</f>
        <v>0.2326656885482766</v>
      </c>
      <c r="Y36" s="5">
        <f>$W36*$D36</f>
        <v>22.393304935884213</v>
      </c>
      <c r="Z36" s="5">
        <f>$Y36*C36</f>
        <v>70.350642276169893</v>
      </c>
      <c r="AA36" s="13">
        <f t="shared" si="14"/>
        <v>0.64728065965187509</v>
      </c>
      <c r="AB36" s="5">
        <f t="shared" si="15"/>
        <v>2.4017751570025787</v>
      </c>
    </row>
    <row r="37" spans="1:28" s="5" customFormat="1" ht="14" x14ac:dyDescent="0.15">
      <c r="A37" s="5">
        <v>110</v>
      </c>
      <c r="B37" s="5">
        <v>2700</v>
      </c>
      <c r="C37" s="5">
        <f t="shared" si="2"/>
        <v>3.1415926535897927</v>
      </c>
      <c r="D37" s="7">
        <v>0.18113922328197096</v>
      </c>
      <c r="E37" s="7">
        <v>0.69075469732369765</v>
      </c>
      <c r="F37" s="7">
        <v>9.4633979770365251E-2</v>
      </c>
      <c r="G37" s="7">
        <v>3.1372688754881993E-4</v>
      </c>
      <c r="H37" s="6">
        <v>1.3638890314436041</v>
      </c>
      <c r="I37" s="8">
        <f t="shared" si="3"/>
        <v>0.15343626077981143</v>
      </c>
      <c r="J37" s="8">
        <f t="shared" si="4"/>
        <v>0.5851124673779452</v>
      </c>
      <c r="K37" s="8">
        <f t="shared" si="5"/>
        <v>0.73854872815775663</v>
      </c>
      <c r="L37" s="8">
        <f t="shared" si="6"/>
        <v>0.14770974563155134</v>
      </c>
      <c r="M37" s="11">
        <f t="shared" si="7"/>
        <v>0.84726484345082653</v>
      </c>
      <c r="N37" s="11">
        <f>ATAN($M37+$F37-$D37*SIN($H37))</f>
        <v>0.65279441133493787</v>
      </c>
      <c r="O37" s="5">
        <f>($D37*$C37*COS($H37))+($D37*C37*($F37+$D37*COS($H37))*SIN($H37))/(SQRT($E37^2-($F37+$D37*COS($H37)^2)))</f>
        <v>0.23683612269395449</v>
      </c>
      <c r="P37" s="5">
        <f>(-$D37*$C37^2*SIN($H37))+(-$D37*$C37^2*($F37+$D37*COS($H37))*COS($H37)+$D37^2*C37^2*(SIN($H37))^2)/SQRT($E37^2-($F37+$D37*COS($H37))^2)+($D37^2*C37^2*($F37+$D37*COS($H37))^2*(SIN($H37))^2)/($E37^2-($F37+$D37*COS($H37))^2)^3/2</f>
        <v>-1.3358761990174104</v>
      </c>
      <c r="Q37" s="5">
        <f t="shared" si="8"/>
        <v>109.8026780664479</v>
      </c>
      <c r="R37" s="12">
        <f t="shared" si="9"/>
        <v>-0.19732193355210534</v>
      </c>
      <c r="S37" s="12">
        <f t="shared" si="10"/>
        <v>109.60535613289579</v>
      </c>
      <c r="T37" s="12">
        <f>($R37+$A37)/COS($N37)</f>
        <v>138.22271161536528</v>
      </c>
      <c r="U37" s="12">
        <f t="shared" si="11"/>
        <v>-5.6352460841396654E-2</v>
      </c>
      <c r="V37" s="12">
        <f t="shared" si="12"/>
        <v>-0.26845836832288539</v>
      </c>
      <c r="W37" s="12">
        <f t="shared" si="13"/>
        <v>124.70846205583102</v>
      </c>
      <c r="X37" s="12">
        <f>$I37*(C37^2)*$D37</f>
        <v>0.27430912373719385</v>
      </c>
      <c r="Y37" s="5">
        <f>$W37*$D37</f>
        <v>22.589593953482378</v>
      </c>
      <c r="Z37" s="5">
        <f>$Y37*C37</f>
        <v>70.967302411836641</v>
      </c>
      <c r="AA37" s="13">
        <f t="shared" si="14"/>
        <v>0.54970746535338866</v>
      </c>
      <c r="AB37" s="5">
        <f t="shared" si="15"/>
        <v>2.0767083769327317</v>
      </c>
    </row>
    <row r="38" spans="1:28" s="5" customFormat="1" ht="14" x14ac:dyDescent="0.15">
      <c r="A38" s="5">
        <v>110</v>
      </c>
      <c r="B38" s="5">
        <v>2700</v>
      </c>
      <c r="C38" s="5">
        <f t="shared" si="2"/>
        <v>3.1415926535897927</v>
      </c>
      <c r="D38" s="7">
        <v>0.11856992277367416</v>
      </c>
      <c r="E38" s="7">
        <v>0.48086515191557799</v>
      </c>
      <c r="F38" s="7">
        <v>0.10912577456878612</v>
      </c>
      <c r="G38" s="7">
        <v>1.4031214797225134E-4</v>
      </c>
      <c r="H38" s="6">
        <v>1.1274845005207037</v>
      </c>
      <c r="I38" s="8">
        <f t="shared" si="3"/>
        <v>4.491936148305109E-2</v>
      </c>
      <c r="J38" s="8">
        <f t="shared" si="4"/>
        <v>0.18217230034574977</v>
      </c>
      <c r="K38" s="8">
        <f t="shared" si="5"/>
        <v>0.22709166182880086</v>
      </c>
      <c r="L38" s="8">
        <f t="shared" si="6"/>
        <v>4.5418332365760178E-2</v>
      </c>
      <c r="M38" s="11">
        <f t="shared" si="7"/>
        <v>0.54560719523489154</v>
      </c>
      <c r="N38" s="11">
        <f>ATAN($M38+$F38-$D38*SIN($H38))</f>
        <v>0.5010175675706372</v>
      </c>
      <c r="O38" s="5">
        <f>($D38*$C38*COS($H38))+($D38*C38*($F38+$D38*COS($H38))*SIN($H38))/(SQRT($E38^2-($F38+$D38*COS($H38)^2)))</f>
        <v>0.32976624716187197</v>
      </c>
      <c r="P38" s="5">
        <f>(-$D38*$C38^2*SIN($H38))+(-$D38*$C38^2*($F38+$D38*COS($H38))*COS($H38)+$D38^2*C38^2*(SIN($H38))^2)/SQRT($E38^2-($F38+$D38*COS($H38))^2)+($D38^2*C38^2*($F38+$D38*COS($H38))^2*(SIN($H38))^2)/($E38^2-($F38+$D38*COS($H38))^2)^3/2</f>
        <v>-0.81788180703560931</v>
      </c>
      <c r="Q38" s="5">
        <f t="shared" si="8"/>
        <v>109.96285317225215</v>
      </c>
      <c r="R38" s="12">
        <f t="shared" si="9"/>
        <v>-3.7146827747851836E-2</v>
      </c>
      <c r="S38" s="12">
        <f t="shared" si="10"/>
        <v>109.92570634450431</v>
      </c>
      <c r="T38" s="12">
        <f>($R38+$A38)/COS($N38)</f>
        <v>125.37176244154067</v>
      </c>
      <c r="U38" s="12">
        <f t="shared" si="11"/>
        <v>-2.2547470478857426E-2</v>
      </c>
      <c r="V38" s="12">
        <f t="shared" si="12"/>
        <v>-4.7485083589168871E-2</v>
      </c>
      <c r="W38" s="12">
        <f t="shared" si="13"/>
        <v>125.16307934810619</v>
      </c>
      <c r="X38" s="12">
        <f>$I38*(C38^2)*$D38</f>
        <v>5.2566354148497897E-2</v>
      </c>
      <c r="Y38" s="5">
        <f>$W38*$D38</f>
        <v>14.840576652420202</v>
      </c>
      <c r="Z38" s="5">
        <f>$Y38*C38</f>
        <v>46.623046586279507</v>
      </c>
      <c r="AA38" s="13">
        <f t="shared" si="14"/>
        <v>1.1689733051203754</v>
      </c>
      <c r="AB38" s="5">
        <f t="shared" si="15"/>
        <v>6.8183490843750132</v>
      </c>
    </row>
    <row r="39" spans="1:28" s="5" customFormat="1" ht="14" x14ac:dyDescent="0.15">
      <c r="A39" s="5">
        <v>110</v>
      </c>
      <c r="B39" s="5">
        <v>2700</v>
      </c>
      <c r="C39" s="5">
        <f t="shared" si="2"/>
        <v>3.1415926535897927</v>
      </c>
      <c r="D39" s="7">
        <v>0.13750718263655243</v>
      </c>
      <c r="E39" s="7">
        <v>0.45061603655441917</v>
      </c>
      <c r="F39" s="7">
        <v>0.13684274073009914</v>
      </c>
      <c r="G39" s="7">
        <v>1.2581885494198654E-4</v>
      </c>
      <c r="H39" s="6">
        <v>0.84882539129575851</v>
      </c>
      <c r="I39" s="8">
        <f t="shared" si="3"/>
        <v>4.6712689917200026E-2</v>
      </c>
      <c r="J39" s="8">
        <f t="shared" si="4"/>
        <v>0.15307918309198809</v>
      </c>
      <c r="K39" s="8">
        <f t="shared" si="5"/>
        <v>0.1997918730091881</v>
      </c>
      <c r="L39" s="8">
        <f t="shared" si="6"/>
        <v>3.9958374601837626E-2</v>
      </c>
      <c r="M39" s="11">
        <f t="shared" si="7"/>
        <v>0.46501056559677323</v>
      </c>
      <c r="N39" s="11">
        <f>ATAN($M39+$F39-$D39*SIN($H39))</f>
        <v>0.46256984836540055</v>
      </c>
      <c r="O39" s="5">
        <f>($D39*$C39*COS($H39))+($D39*C39*($F39+$D39*COS($H39))*SIN($H39))/(SQRT($E39^2-($F39+$D39*COS($H39)^2)))</f>
        <v>1.2263920950433875</v>
      </c>
      <c r="P39" s="5">
        <f>(-$D39*$C39^2*SIN($H39))+(-$D39*$C39^2*($F39+$D39*COS($H39))*COS($H39)+$D39^2*C39^2*(SIN($H39))^2)/SQRT($E39^2-($F39+$D39*COS($H39))^2)+($D39^2*C39^2*($F39+$D39*COS($H39))^2*(SIN($H39))^2)/($E39^2-($F39+$D39*COS($H39))^2)^3/2</f>
        <v>-0.4850322882103939</v>
      </c>
      <c r="Q39" s="5">
        <f t="shared" si="8"/>
        <v>109.9806188981337</v>
      </c>
      <c r="R39" s="12">
        <f t="shared" si="9"/>
        <v>-1.9381101866297393E-2</v>
      </c>
      <c r="S39" s="12">
        <f t="shared" si="10"/>
        <v>109.9612377962674</v>
      </c>
      <c r="T39" s="12">
        <f>($R39+$A39)/COS($N39)</f>
        <v>122.8959152308131</v>
      </c>
      <c r="U39" s="12">
        <f t="shared" si="11"/>
        <v>-4.1896028557819438E-2</v>
      </c>
      <c r="V39" s="12">
        <f t="shared" si="12"/>
        <v>-4.7578790982061955E-2</v>
      </c>
      <c r="W39" s="12">
        <f t="shared" si="13"/>
        <v>118.7842816739871</v>
      </c>
      <c r="X39" s="12">
        <f>$I39*(C39^2)*$D39</f>
        <v>6.3395729826482491E-2</v>
      </c>
      <c r="Y39" s="5">
        <f>$W39*$D39</f>
        <v>16.333691914496629</v>
      </c>
      <c r="Z39" s="5">
        <f>$Y39*C39</f>
        <v>51.313806524581608</v>
      </c>
      <c r="AA39" s="13">
        <f t="shared" si="14"/>
        <v>1.4724505201970499</v>
      </c>
      <c r="AB39" s="5">
        <f t="shared" si="15"/>
        <v>30.944347830063769</v>
      </c>
    </row>
    <row r="40" spans="1:28" s="5" customFormat="1" ht="14" x14ac:dyDescent="0.15">
      <c r="A40" s="5">
        <v>110</v>
      </c>
      <c r="B40" s="5">
        <v>2700</v>
      </c>
      <c r="C40" s="5">
        <f t="shared" si="2"/>
        <v>3.1415926535897927</v>
      </c>
      <c r="D40" s="7">
        <v>0.14258677319689808</v>
      </c>
      <c r="E40" s="7">
        <v>0.67212080496687809</v>
      </c>
      <c r="F40" s="7">
        <v>0.13903844986944247</v>
      </c>
      <c r="G40" s="7">
        <v>4.7538424868276733E-4</v>
      </c>
      <c r="H40" s="6">
        <v>1.1339905688634642</v>
      </c>
      <c r="I40" s="8">
        <f t="shared" si="3"/>
        <v>0.18301546633043037</v>
      </c>
      <c r="J40" s="8">
        <f t="shared" si="4"/>
        <v>0.86269223851173749</v>
      </c>
      <c r="K40" s="8">
        <f t="shared" si="5"/>
        <v>1.0457077048421679</v>
      </c>
      <c r="L40" s="8">
        <f t="shared" si="6"/>
        <v>0.2091415409684336</v>
      </c>
      <c r="M40" s="11">
        <f t="shared" si="7"/>
        <v>0.77010231915140326</v>
      </c>
      <c r="N40" s="11">
        <f>ATAN($M40+$F40-$D40*SIN($H40))</f>
        <v>0.6623901141942885</v>
      </c>
      <c r="O40" s="5">
        <f>($D40*$C40*COS($H40))+($D40*C40*($F40+$D40*COS($H40))*SIN($H40))/(SQRT($E40^2-($F40+$D40*COS($H40)^2)))</f>
        <v>0.34049846964924624</v>
      </c>
      <c r="P40" s="5">
        <f>(-$D40*$C40^2*SIN($H40))+(-$D40*$C40^2*($F40+$D40*COS($H40))*COS($H40)+$D40^2*C40^2*(SIN($H40))^2)/SQRT($E40^2-($F40+$D40*COS($H40))^2)+($D40^2*C40^2*($F40+$D40*COS($H40))^2*(SIN($H40))^2)/($E40^2-($F40+$D40*COS($H40))^2)^3/2</f>
        <v>-1.1565718744499813</v>
      </c>
      <c r="Q40" s="5">
        <f t="shared" si="8"/>
        <v>109.75811277593678</v>
      </c>
      <c r="R40" s="12">
        <f t="shared" si="9"/>
        <v>-0.2418872240632188</v>
      </c>
      <c r="S40" s="12">
        <f t="shared" si="10"/>
        <v>109.51622555187356</v>
      </c>
      <c r="T40" s="12">
        <f>($R40+$A40)/COS($N40)</f>
        <v>139.19428606689405</v>
      </c>
      <c r="U40" s="12">
        <f t="shared" si="11"/>
        <v>-0.10895714322667192</v>
      </c>
      <c r="V40" s="12">
        <f t="shared" si="12"/>
        <v>-0.23337081968135984</v>
      </c>
      <c r="W40" s="12">
        <f t="shared" si="13"/>
        <v>135.66759937007527</v>
      </c>
      <c r="X40" s="12">
        <f>$I40*(C40^2)*$D40</f>
        <v>0.25755309848430724</v>
      </c>
      <c r="Y40" s="5">
        <f>$W40*$D40</f>
        <v>19.344405221548556</v>
      </c>
      <c r="Z40" s="5">
        <f>$Y40*C40</f>
        <v>60.772241332080966</v>
      </c>
      <c r="AA40" s="13">
        <f t="shared" si="14"/>
        <v>1.3472375425203322</v>
      </c>
      <c r="AB40" s="5">
        <f t="shared" si="15"/>
        <v>13.052646885623773</v>
      </c>
    </row>
    <row r="41" spans="1:28" s="5" customFormat="1" ht="14" x14ac:dyDescent="0.15">
      <c r="A41" s="5">
        <v>110</v>
      </c>
      <c r="B41" s="5">
        <v>2700</v>
      </c>
      <c r="C41" s="5">
        <f t="shared" si="2"/>
        <v>3.1415926535897927</v>
      </c>
      <c r="D41" s="7">
        <v>0.18945720618726442</v>
      </c>
      <c r="E41" s="7">
        <v>0.68835038139320948</v>
      </c>
      <c r="F41" s="7">
        <v>8.9236263182319975E-2</v>
      </c>
      <c r="G41" s="7">
        <v>1.6696324592835749E-4</v>
      </c>
      <c r="H41" s="6">
        <v>1.7311206552399343</v>
      </c>
      <c r="I41" s="8">
        <f t="shared" si="3"/>
        <v>8.5407453295768154E-2</v>
      </c>
      <c r="J41" s="8">
        <f t="shared" si="4"/>
        <v>0.31030887783626943</v>
      </c>
      <c r="K41" s="8">
        <f t="shared" si="5"/>
        <v>0.39571633113203758</v>
      </c>
      <c r="L41" s="8">
        <f t="shared" si="6"/>
        <v>7.9143266226407522E-2</v>
      </c>
      <c r="M41" s="11">
        <f t="shared" si="7"/>
        <v>0.90259303458681694</v>
      </c>
      <c r="N41" s="11">
        <f>ATAN($M41+$F41-$D41*SIN($H41))</f>
        <v>0.67766200287837908</v>
      </c>
      <c r="O41" s="5">
        <f>($D41*$C41*COS($H41))+($D41*C41*($F41+$D41*COS($H41))*SIN($H41))/(SQRT($E41^2-($F41+$D41*COS($H41)^2)))</f>
        <v>-3.877054576819558E-2</v>
      </c>
      <c r="P41" s="5">
        <f>(-$D41*$C41^2*SIN($H41))+(-$D41*$C41^2*($F41+$D41*COS($H41))*COS($H41)+$D41^2*C41^2*(SIN($H41))^2)/SQRT($E41^2-($F41+$D41*COS($H41))^2)+($D41^2*C41^2*($F41+$D41*COS($H41))^2*(SIN($H41))^2)/($E41^2-($F41+$D41*COS($H41))^2)^3/2</f>
        <v>-1.3110514875573409</v>
      </c>
      <c r="Q41" s="5">
        <f t="shared" si="8"/>
        <v>109.8962391030837</v>
      </c>
      <c r="R41" s="12">
        <f t="shared" si="9"/>
        <v>-0.10376089691627824</v>
      </c>
      <c r="S41" s="12">
        <f t="shared" si="10"/>
        <v>109.79247820616742</v>
      </c>
      <c r="T41" s="12">
        <f>($R41+$A41)/COS($N41)</f>
        <v>141.06610592290369</v>
      </c>
      <c r="U41" s="12">
        <f t="shared" si="11"/>
        <v>2.5494351506967623E-2</v>
      </c>
      <c r="V41" s="12">
        <f t="shared" si="12"/>
        <v>-0.15765256498497626</v>
      </c>
      <c r="W41" s="12">
        <f t="shared" si="13"/>
        <v>94.367714272940788</v>
      </c>
      <c r="X41" s="12">
        <f>$I41*(C41^2)*$D41</f>
        <v>0.15970063620757116</v>
      </c>
      <c r="Y41" s="5">
        <f>$W41*$D41</f>
        <v>17.878643500429398</v>
      </c>
      <c r="Z41" s="5">
        <f>$Y41*C41</f>
        <v>56.167415077099889</v>
      </c>
      <c r="AA41" s="13">
        <f t="shared" si="14"/>
        <v>0.49043553378939192</v>
      </c>
      <c r="AB41" s="5">
        <f t="shared" si="15"/>
        <v>1.9079106479327654</v>
      </c>
    </row>
    <row r="42" spans="1:28" s="5" customFormat="1" ht="14" x14ac:dyDescent="0.15">
      <c r="A42" s="5">
        <v>110</v>
      </c>
      <c r="B42" s="5">
        <v>2700</v>
      </c>
      <c r="C42" s="5">
        <f t="shared" si="2"/>
        <v>3.1415926535897927</v>
      </c>
      <c r="D42" s="7">
        <v>7.7905007446080171E-2</v>
      </c>
      <c r="E42" s="7">
        <v>0.66162076951925552</v>
      </c>
      <c r="F42" s="7">
        <v>6.5149236088855839E-2</v>
      </c>
      <c r="G42" s="7">
        <v>2.1493808268761391E-4</v>
      </c>
      <c r="H42" s="6">
        <v>1.487868200618095</v>
      </c>
      <c r="I42" s="8">
        <f t="shared" si="3"/>
        <v>4.5210832917006845E-2</v>
      </c>
      <c r="J42" s="8">
        <f t="shared" si="4"/>
        <v>0.38396024910028576</v>
      </c>
      <c r="K42" s="8">
        <f t="shared" si="5"/>
        <v>0.42917108201729259</v>
      </c>
      <c r="L42" s="8">
        <f t="shared" si="6"/>
        <v>8.5834216403458521E-2</v>
      </c>
      <c r="M42" s="11">
        <f t="shared" si="7"/>
        <v>0.73758678860491411</v>
      </c>
      <c r="N42" s="11">
        <f>ATAN($M42+$F42-$D42*SIN($H42))</f>
        <v>0.62737291223358438</v>
      </c>
      <c r="O42" s="5">
        <f>($D42*$C42*COS($H42))+($D42*C42*($F42+$D42*COS($H42))*SIN($H42))/(SQRT($E42^2-($F42+$D42*COS($H42)^2)))</f>
        <v>4.8904415833012457E-2</v>
      </c>
      <c r="P42" s="5">
        <f>(-$D42*$C42^2*SIN($H42))+(-$D42*$C42^2*($F42+$D42*COS($H42))*COS($H42)+$D42^2*C42^2*(SIN($H42))^2)/SQRT($E42^2-($F42+$D42*COS($H42))^2)+($D42^2*C42^2*($F42+$D42*COS($H42))^2*(SIN($H42))^2)/($E42^2-($F42+$D42*COS($H42))^2)^3/2</f>
        <v>-0.68085313625698951</v>
      </c>
      <c r="Q42" s="5">
        <f t="shared" si="8"/>
        <v>109.94155950456356</v>
      </c>
      <c r="R42" s="12">
        <f t="shared" si="9"/>
        <v>-5.8440495436455867E-2</v>
      </c>
      <c r="S42" s="12">
        <f t="shared" si="10"/>
        <v>109.8831190091271</v>
      </c>
      <c r="T42" s="12">
        <f>($R42+$A42)/COS($N42)</f>
        <v>135.80200150387293</v>
      </c>
      <c r="U42" s="12">
        <f t="shared" si="11"/>
        <v>-2.8794635530642368E-3</v>
      </c>
      <c r="V42" s="12">
        <f t="shared" si="12"/>
        <v>-3.4642767126751371E-2</v>
      </c>
      <c r="W42" s="12">
        <f t="shared" si="13"/>
        <v>116.16706801863414</v>
      </c>
      <c r="X42" s="12">
        <f>$I42*(C42^2)*$D42</f>
        <v>3.4762229855861533E-2</v>
      </c>
      <c r="Y42" s="5">
        <f>$W42*$D42</f>
        <v>9.0499962989809948</v>
      </c>
      <c r="Z42" s="5">
        <f>$Y42*C42</f>
        <v>28.431401887893507</v>
      </c>
      <c r="AA42" s="13">
        <f t="shared" si="14"/>
        <v>0.99043588464072818</v>
      </c>
      <c r="AB42" s="5">
        <f t="shared" si="15"/>
        <v>4.4131750295194188</v>
      </c>
    </row>
    <row r="43" spans="1:28" s="5" customFormat="1" ht="14" x14ac:dyDescent="0.15">
      <c r="A43" s="5">
        <v>110</v>
      </c>
      <c r="B43" s="5">
        <v>2700</v>
      </c>
      <c r="C43" s="5">
        <f t="shared" si="2"/>
        <v>3.1415926535897927</v>
      </c>
      <c r="D43" s="7">
        <v>9.9493392711791251E-2</v>
      </c>
      <c r="E43" s="7">
        <v>0.3947647445778848</v>
      </c>
      <c r="F43" s="7">
        <v>5.4615768797414567E-2</v>
      </c>
      <c r="G43" s="7">
        <v>4.6511108568847356E-4</v>
      </c>
      <c r="H43" s="6">
        <v>1.1181612058590542</v>
      </c>
      <c r="I43" s="8">
        <f t="shared" si="3"/>
        <v>0.1249437957381294</v>
      </c>
      <c r="J43" s="8">
        <f t="shared" si="4"/>
        <v>0.49574553914381292</v>
      </c>
      <c r="K43" s="8">
        <f t="shared" si="5"/>
        <v>0.62068933488194233</v>
      </c>
      <c r="L43" s="8">
        <f t="shared" si="6"/>
        <v>0.12413786697638847</v>
      </c>
      <c r="M43" s="11">
        <f t="shared" si="7"/>
        <v>0.42904739531103619</v>
      </c>
      <c r="N43" s="11">
        <f>ATAN($M43+$F43-$D43*SIN($H43))</f>
        <v>0.37548685749785943</v>
      </c>
      <c r="O43" s="5">
        <f>($D43*$C43*COS($H43))+($D43*C43*($F43+$D43*COS($H43))*SIN($H43))/(SQRT($E43^2-($F43+$D43*COS($H43)^2)))</f>
        <v>0.23290733931892826</v>
      </c>
      <c r="P43" s="5">
        <f>(-$D43*$C43^2*SIN($H43))+(-$D43*$C43^2*($F43+$D43*COS($H43))*COS($H43)+$D43^2*C43^2*(SIN($H43))^2)/SQRT($E43^2-($F43+$D43*COS($H43))^2)+($D43^2*C43^2*($F43+$D43*COS($H43))^2*(SIN($H43))^2)/($E43^2-($F43+$D43*COS($H43))^2)^3/2</f>
        <v>-0.66493907174687095</v>
      </c>
      <c r="Q43" s="5">
        <f t="shared" si="8"/>
        <v>109.91745588196409</v>
      </c>
      <c r="R43" s="12">
        <f t="shared" si="9"/>
        <v>-8.2544118035916297E-2</v>
      </c>
      <c r="S43" s="12">
        <f t="shared" si="10"/>
        <v>109.83491176392818</v>
      </c>
      <c r="T43" s="12">
        <f>($R43+$A43)/COS($N43)</f>
        <v>118.14899195708384</v>
      </c>
      <c r="U43" s="12">
        <f t="shared" si="11"/>
        <v>-5.3656793067330205E-2</v>
      </c>
      <c r="V43" s="12">
        <f t="shared" si="12"/>
        <v>-0.11033472269183378</v>
      </c>
      <c r="W43" s="12">
        <f t="shared" si="13"/>
        <v>117.79756350545297</v>
      </c>
      <c r="X43" s="12">
        <f>$I43*(C43^2)*$D43</f>
        <v>0.12268986296248829</v>
      </c>
      <c r="Y43" s="5">
        <f>$W43*$D43</f>
        <v>11.720079246340202</v>
      </c>
      <c r="Z43" s="5">
        <f>$Y43*C43</f>
        <v>36.819714859792569</v>
      </c>
      <c r="AA43" s="13">
        <f t="shared" si="14"/>
        <v>0.58109394303833539</v>
      </c>
      <c r="AB43" s="5">
        <f t="shared" si="15"/>
        <v>2.1742801726569714</v>
      </c>
    </row>
    <row r="44" spans="1:28" s="5" customFormat="1" ht="14" x14ac:dyDescent="0.15">
      <c r="A44" s="5">
        <v>110</v>
      </c>
      <c r="B44" s="5">
        <v>2700</v>
      </c>
      <c r="C44" s="5">
        <f t="shared" si="2"/>
        <v>3.1415926535897927</v>
      </c>
      <c r="D44" s="7">
        <v>0.14211370572481094</v>
      </c>
      <c r="E44" s="7">
        <v>0.53904745932798293</v>
      </c>
      <c r="F44" s="7">
        <v>7.5884315094305169E-2</v>
      </c>
      <c r="G44" s="7">
        <v>3.6967516657738397E-4</v>
      </c>
      <c r="H44" s="6">
        <v>1.6798646039034322</v>
      </c>
      <c r="I44" s="8">
        <f t="shared" si="3"/>
        <v>0.14184695115922177</v>
      </c>
      <c r="J44" s="8">
        <f t="shared" si="4"/>
        <v>0.53803564016450678</v>
      </c>
      <c r="K44" s="8">
        <f t="shared" si="5"/>
        <v>0.67988259132372852</v>
      </c>
      <c r="L44" s="8">
        <f t="shared" si="6"/>
        <v>0.13597651826474572</v>
      </c>
      <c r="M44" s="11">
        <f t="shared" si="7"/>
        <v>0.69965978242374871</v>
      </c>
      <c r="N44" s="11">
        <f>ATAN($M44+$F44-$D44*SIN($H44))</f>
        <v>0.56524107817272284</v>
      </c>
      <c r="O44" s="5">
        <f>($D44*$C44*COS($H44))+($D44*C44*($F44+$D44*COS($H44))*SIN($H44))/(SQRT($E44^2-($F44+$D44*COS($H44)^2)))</f>
        <v>9.4977294781435836E-3</v>
      </c>
      <c r="P44" s="5">
        <f>(-$D44*$C44^2*SIN($H44))+(-$D44*$C44^2*($F44+$D44*COS($H44))*COS($H44)+$D44^2*C44^2*(SIN($H44))^2)/SQRT($E44^2-($F44+$D44*COS($H44))^2)+($D44^2*C44^2*($F44+$D44*COS($H44))^2*(SIN($H44))^2)/($E44^2-($F44+$D44*COS($H44))^2)^3/2</f>
        <v>-0.99411709697838591</v>
      </c>
      <c r="Q44" s="5">
        <f t="shared" si="8"/>
        <v>109.86482341840542</v>
      </c>
      <c r="R44" s="12">
        <f t="shared" si="9"/>
        <v>-0.13517658159457749</v>
      </c>
      <c r="S44" s="12">
        <f t="shared" si="10"/>
        <v>109.72964683681084</v>
      </c>
      <c r="T44" s="12">
        <f>($R44+$A44)/COS($N44)</f>
        <v>130.10076098687412</v>
      </c>
      <c r="U44" s="12">
        <f t="shared" si="11"/>
        <v>2.165672456589085E-2</v>
      </c>
      <c r="V44" s="12">
        <f t="shared" si="12"/>
        <v>-0.19777318964999516</v>
      </c>
      <c r="W44" s="12">
        <f t="shared" si="13"/>
        <v>101.62669337226508</v>
      </c>
      <c r="X44" s="12">
        <f>$I44*(C44^2)*$D44</f>
        <v>0.19895539264683379</v>
      </c>
      <c r="Y44" s="5">
        <f>$W44*$D44</f>
        <v>14.442545995691674</v>
      </c>
      <c r="Z44" s="5">
        <f>$Y44*C44</f>
        <v>45.37259639919764</v>
      </c>
      <c r="AA44" s="13">
        <f t="shared" si="14"/>
        <v>0.56328790065401857</v>
      </c>
      <c r="AB44" s="5">
        <f t="shared" si="15"/>
        <v>2.1181800291469823</v>
      </c>
    </row>
    <row r="45" spans="1:28" s="5" customFormat="1" ht="14" x14ac:dyDescent="0.15">
      <c r="A45" s="5">
        <v>110</v>
      </c>
      <c r="B45" s="5">
        <v>2700</v>
      </c>
      <c r="C45" s="5">
        <f t="shared" si="2"/>
        <v>3.1415926535897927</v>
      </c>
      <c r="D45" s="7">
        <v>5.5936654763093285E-2</v>
      </c>
      <c r="E45" s="7">
        <v>0.75640472799861025</v>
      </c>
      <c r="F45" s="7">
        <v>5.1535787263625898E-2</v>
      </c>
      <c r="G45" s="7">
        <v>3.2272501230353015E-4</v>
      </c>
      <c r="H45" s="6">
        <v>2.0070688022492282</v>
      </c>
      <c r="I45" s="8">
        <f t="shared" si="3"/>
        <v>4.8740825510921522E-2</v>
      </c>
      <c r="J45" s="8">
        <f t="shared" si="4"/>
        <v>0.6590989579044596</v>
      </c>
      <c r="K45" s="8">
        <f t="shared" si="5"/>
        <v>0.70783978341538112</v>
      </c>
      <c r="L45" s="8">
        <f t="shared" si="6"/>
        <v>0.14156795668307623</v>
      </c>
      <c r="M45" s="11">
        <f t="shared" si="7"/>
        <v>0.82428683955890736</v>
      </c>
      <c r="N45" s="11">
        <f>ATAN($M45+$F45-$D45*SIN($H45))</f>
        <v>0.68987464724912051</v>
      </c>
      <c r="O45" s="5">
        <f>($D45*$C45*COS($H45))+($D45*C45*($F45+$D45*COS($H45))*SIN($H45))/(SQRT($E45^2-($F45+$D45*COS($H45)^2)))</f>
        <v>-6.8038955207303464E-2</v>
      </c>
      <c r="P45" s="5">
        <f>(-$D45*$C45^2*SIN($H45))+(-$D45*$C45^2*($F45+$D45*COS($H45))*COS($H45)+$D45^2*C45^2*(SIN($H45))^2)/SQRT($E45^2-($F45+$D45*COS($H45))^2)+($D45^2*C45^2*($F45+$D45*COS($H45))^2*(SIN($H45))^2)/($E45^2-($F45+$D45*COS($H45))^2)^3/2</f>
        <v>-0.45813942248314699</v>
      </c>
      <c r="Q45" s="5">
        <f t="shared" si="8"/>
        <v>109.93514213808311</v>
      </c>
      <c r="R45" s="12">
        <f t="shared" si="9"/>
        <v>-6.4857861916903708E-2</v>
      </c>
      <c r="S45" s="12">
        <f t="shared" si="10"/>
        <v>109.8702842761662</v>
      </c>
      <c r="T45" s="12">
        <f>($R45+$A45)/COS($N45)</f>
        <v>142.52750530204167</v>
      </c>
      <c r="U45" s="12">
        <f t="shared" si="11"/>
        <v>1.1370554433147948E-2</v>
      </c>
      <c r="V45" s="12">
        <f t="shared" si="12"/>
        <v>-2.4388042581051917E-2</v>
      </c>
      <c r="W45" s="12">
        <f t="shared" si="13"/>
        <v>61.306955255528507</v>
      </c>
      <c r="X45" s="12">
        <f>$I45*(C45^2)*$D45</f>
        <v>2.6908476899527068E-2</v>
      </c>
      <c r="Y45" s="5">
        <f>$W45*$D45</f>
        <v>3.4293059907049055</v>
      </c>
      <c r="Z45" s="5">
        <f>$Y45*C45</f>
        <v>10.773482507309996</v>
      </c>
      <c r="AA45" s="13">
        <f t="shared" si="14"/>
        <v>1.1714724672251795</v>
      </c>
      <c r="AB45" s="5">
        <f t="shared" si="15"/>
        <v>6.8672800993533158</v>
      </c>
    </row>
    <row r="46" spans="1:28" s="5" customFormat="1" ht="14" x14ac:dyDescent="0.15">
      <c r="A46" s="5">
        <v>110</v>
      </c>
      <c r="B46" s="5">
        <v>2700</v>
      </c>
      <c r="C46" s="5">
        <f t="shared" si="2"/>
        <v>3.1415926535897927</v>
      </c>
      <c r="D46" s="7">
        <v>9.8508647797054233E-2</v>
      </c>
      <c r="E46" s="7">
        <v>0.61614197207467669</v>
      </c>
      <c r="F46" s="7">
        <v>9.5979595873612406E-2</v>
      </c>
      <c r="G46" s="7">
        <v>4.7315170871891016E-4</v>
      </c>
      <c r="H46" s="6">
        <v>1.8088290026490512</v>
      </c>
      <c r="I46" s="8">
        <f t="shared" si="3"/>
        <v>0.1258457445776669</v>
      </c>
      <c r="J46" s="8">
        <f t="shared" si="4"/>
        <v>0.78712729263154524</v>
      </c>
      <c r="K46" s="8">
        <f t="shared" si="5"/>
        <v>0.91297303720921219</v>
      </c>
      <c r="L46" s="8">
        <f t="shared" si="6"/>
        <v>0.18259460744184244</v>
      </c>
      <c r="M46" s="11">
        <f t="shared" si="7"/>
        <v>0.73765823879172321</v>
      </c>
      <c r="N46" s="11">
        <f>ATAN($M46+$F46-$D46*SIN($H46))</f>
        <v>0.63571640517709604</v>
      </c>
      <c r="O46" s="5">
        <f>($D46*$C46*COS($H46))+($D46*C46*($F46+$D46*COS($H46))*SIN($H46))/(SQRT($E46^2-($F46+$D46*COS($H46)^2)))</f>
        <v>-3.1486390209641738E-2</v>
      </c>
      <c r="P46" s="5">
        <f>(-$D46*$C46^2*SIN($H46))+(-$D46*$C46^2*($F46+$D46*COS($H46))*COS($H46)+$D46^2*C46^2*(SIN($H46))^2)/SQRT($E46^2-($F46+$D46*COS($H46))^2)+($D46^2*C46^2*($F46+$D46*COS($H46))^2*(SIN($H46))^2)/($E46^2-($F46+$D46*COS($H46))^2)^3/2</f>
        <v>-0.76517145339713488</v>
      </c>
      <c r="Q46" s="5">
        <f t="shared" si="8"/>
        <v>109.86028381884124</v>
      </c>
      <c r="R46" s="12">
        <f t="shared" si="9"/>
        <v>-0.13971618115875389</v>
      </c>
      <c r="S46" s="12">
        <f t="shared" si="10"/>
        <v>109.72056763768248</v>
      </c>
      <c r="T46" s="12">
        <f>($R46+$A46)/COS($N46)</f>
        <v>136.53235192392944</v>
      </c>
      <c r="U46" s="12">
        <f t="shared" si="11"/>
        <v>2.8849632647258878E-2</v>
      </c>
      <c r="V46" s="12">
        <f t="shared" si="12"/>
        <v>-0.11890255876247853</v>
      </c>
      <c r="W46" s="12">
        <f t="shared" si="13"/>
        <v>87.647829565977673</v>
      </c>
      <c r="X46" s="12">
        <f>$I46*(C46^2)*$D46</f>
        <v>0.12235244085896467</v>
      </c>
      <c r="Y46" s="5">
        <f>$W46*$D46</f>
        <v>8.634069172891131</v>
      </c>
      <c r="Z46" s="5">
        <f>$Y46*C46</f>
        <v>27.124728284140875</v>
      </c>
      <c r="AA46" s="13">
        <f t="shared" si="14"/>
        <v>1.3437103857366395</v>
      </c>
      <c r="AB46" s="5">
        <f t="shared" si="15"/>
        <v>12.834377588279862</v>
      </c>
    </row>
    <row r="47" spans="1:28" s="5" customFormat="1" ht="14" x14ac:dyDescent="0.15">
      <c r="A47" s="5">
        <v>110</v>
      </c>
      <c r="B47" s="5">
        <v>2700</v>
      </c>
      <c r="C47" s="5">
        <f t="shared" si="2"/>
        <v>3.1415926535897927</v>
      </c>
      <c r="D47" s="7">
        <v>6.4215110387579877E-2</v>
      </c>
      <c r="E47" s="7">
        <v>0.32160193605403264</v>
      </c>
      <c r="F47" s="7">
        <v>5.3341348173124054E-2</v>
      </c>
      <c r="G47" s="7">
        <v>1.0350984119788574E-4</v>
      </c>
      <c r="H47" s="6">
        <v>1.1071680118677552</v>
      </c>
      <c r="I47" s="8">
        <f t="shared" si="3"/>
        <v>1.7946618872552358E-2</v>
      </c>
      <c r="J47" s="8">
        <f t="shared" si="4"/>
        <v>8.9880206390690914E-2</v>
      </c>
      <c r="K47" s="8">
        <f t="shared" si="5"/>
        <v>0.10782682526324328</v>
      </c>
      <c r="L47" s="8">
        <f t="shared" si="6"/>
        <v>2.1565365052648656E-2</v>
      </c>
      <c r="M47" s="11">
        <f t="shared" si="7"/>
        <v>0.3359256887000639</v>
      </c>
      <c r="N47" s="11">
        <f>ATAN($M47+$F47-$D47*SIN($H47))</f>
        <v>0.320397613142338</v>
      </c>
      <c r="O47" s="5">
        <f>($D47*$C47*COS($H47))+($D47*C47*($F47+$D47*COS($H47))*SIN($H47))/(SQRT($E47^2-($F47+$D47*COS($H47)^2)))</f>
        <v>0.16693964859198002</v>
      </c>
      <c r="P47" s="5">
        <f>(-$D47*$C47^2*SIN($H47))+(-$D47*$C47^2*($F47+$D47*COS($H47))*COS($H47)+$D47^2*C47^2*(SIN($H47))^2)/SQRT($E47^2-($F47+$D47*COS($H47))^2)+($D47^2*C47^2*($F47+$D47*COS($H47))^2*(SIN($H47))^2)/($E47^2-($F47+$D47*COS($H47))^2)^3/2</f>
        <v>-0.41570911184377968</v>
      </c>
      <c r="Q47" s="5">
        <f t="shared" si="8"/>
        <v>109.99103508124738</v>
      </c>
      <c r="R47" s="12">
        <f t="shared" si="9"/>
        <v>-8.9649187526234572E-3</v>
      </c>
      <c r="S47" s="12">
        <f t="shared" si="10"/>
        <v>109.98207016249475</v>
      </c>
      <c r="T47" s="12">
        <f>($R47+$A47)/COS($N47)</f>
        <v>115.88857362140681</v>
      </c>
      <c r="U47" s="12">
        <f t="shared" si="11"/>
        <v>-5.0864860478008435E-3</v>
      </c>
      <c r="V47" s="12">
        <f t="shared" si="12"/>
        <v>-1.0173462809720001E-2</v>
      </c>
      <c r="W47" s="12">
        <f t="shared" si="13"/>
        <v>114.70187545667935</v>
      </c>
      <c r="X47" s="12">
        <f>$I47*(C47^2)*$D47</f>
        <v>1.1374167479654439E-2</v>
      </c>
      <c r="Y47" s="5">
        <f>$W47*$D47</f>
        <v>7.3655935941131032</v>
      </c>
      <c r="Z47" s="5">
        <f>$Y47*C47</f>
        <v>23.139694724593763</v>
      </c>
      <c r="AA47" s="13">
        <f t="shared" si="14"/>
        <v>0.98030390094534392</v>
      </c>
      <c r="AB47" s="5">
        <f t="shared" si="15"/>
        <v>4.3202928878722267</v>
      </c>
    </row>
    <row r="48" spans="1:28" s="5" customFormat="1" ht="14" x14ac:dyDescent="0.15">
      <c r="A48" s="5">
        <v>110</v>
      </c>
      <c r="B48" s="5">
        <v>2700</v>
      </c>
      <c r="C48" s="5">
        <f t="shared" si="2"/>
        <v>3.1415926535897927</v>
      </c>
      <c r="D48" s="7">
        <v>0.15122918095148602</v>
      </c>
      <c r="E48" s="7">
        <v>0.67254290777865267</v>
      </c>
      <c r="F48" s="7">
        <v>0.14007279288430741</v>
      </c>
      <c r="G48" s="7">
        <v>4.1070881699989132E-4</v>
      </c>
      <c r="H48" s="6">
        <v>1.6872861945232924</v>
      </c>
      <c r="I48" s="8">
        <f t="shared" si="3"/>
        <v>0.16770012661200778</v>
      </c>
      <c r="J48" s="8">
        <f t="shared" si="4"/>
        <v>0.74579211549568103</v>
      </c>
      <c r="K48" s="8">
        <f t="shared" si="5"/>
        <v>0.91349224210768876</v>
      </c>
      <c r="L48" s="8">
        <f t="shared" si="6"/>
        <v>0.18269844842153776</v>
      </c>
      <c r="M48" s="11">
        <f t="shared" si="7"/>
        <v>0.84985503037720034</v>
      </c>
      <c r="N48" s="11">
        <f>ATAN($M48+$F48-$D48*SIN($H48))</f>
        <v>0.69849772721927073</v>
      </c>
      <c r="O48" s="5">
        <f>($D48*$C48*COS($H48))+($D48*C48*($F48+$D48*COS($H48))*SIN($H48))/(SQRT($E48^2-($F48+$D48*COS($H48)^2)))</f>
        <v>4.8565582758858993E-2</v>
      </c>
      <c r="P48" s="5">
        <f>(-$D48*$C48^2*SIN($H48))+(-$D48*$C48^2*($F48+$D48*COS($H48))*COS($H48)+$D48^2*C48^2*(SIN($H48))^2)/SQRT($E48^2-($F48+$D48*COS($H48))^2)+($D48^2*C48^2*($F48+$D48*COS($H48))^2*(SIN($H48))^2)/($E48^2-($F48+$D48*COS($H48))^2)^3/2</f>
        <v>-1.0936251455915569</v>
      </c>
      <c r="Q48" s="5">
        <f t="shared" si="8"/>
        <v>109.80019638274564</v>
      </c>
      <c r="R48" s="12">
        <f t="shared" si="9"/>
        <v>-0.19980361725435578</v>
      </c>
      <c r="S48" s="12">
        <f t="shared" si="10"/>
        <v>109.60039276549128</v>
      </c>
      <c r="T48" s="12">
        <f>($R48+$A48)/COS($N48)</f>
        <v>143.37802240159456</v>
      </c>
      <c r="U48" s="12">
        <f t="shared" si="11"/>
        <v>2.9092043083117237E-2</v>
      </c>
      <c r="V48" s="12">
        <f t="shared" si="12"/>
        <v>-0.24860816235244834</v>
      </c>
      <c r="W48" s="12">
        <f t="shared" si="13"/>
        <v>98.339748215408065</v>
      </c>
      <c r="X48" s="12">
        <f>$I48*(C48^2)*$D48</f>
        <v>0.2503045452224375</v>
      </c>
      <c r="Y48" s="5">
        <f>$W48*$D48</f>
        <v>14.871839577591521</v>
      </c>
      <c r="Z48" s="5">
        <f>$Y48*C48</f>
        <v>46.721261962327446</v>
      </c>
      <c r="AA48" s="13">
        <f t="shared" si="14"/>
        <v>1.1842818706288125</v>
      </c>
      <c r="AB48" s="5">
        <f t="shared" si="15"/>
        <v>7.1280081597772389</v>
      </c>
    </row>
    <row r="49" spans="1:28" s="5" customFormat="1" ht="14" x14ac:dyDescent="0.15">
      <c r="A49" s="5">
        <v>110</v>
      </c>
      <c r="B49" s="5">
        <v>2700</v>
      </c>
      <c r="C49" s="5">
        <f t="shared" si="2"/>
        <v>3.1415926535897927</v>
      </c>
      <c r="D49" s="7">
        <v>9.9756773766425055E-2</v>
      </c>
      <c r="E49" s="7">
        <v>0.48943209269685672</v>
      </c>
      <c r="F49" s="7">
        <v>6.0698232554668843E-2</v>
      </c>
      <c r="G49" s="7">
        <v>2.897432450971969E-4</v>
      </c>
      <c r="H49" s="6">
        <v>1.8474230601808819</v>
      </c>
      <c r="I49" s="8">
        <f t="shared" si="3"/>
        <v>7.8040398649079468E-2</v>
      </c>
      <c r="J49" s="8">
        <f t="shared" si="4"/>
        <v>0.38288603554028822</v>
      </c>
      <c r="K49" s="8">
        <f t="shared" si="5"/>
        <v>0.46092643418936768</v>
      </c>
      <c r="L49" s="8">
        <f t="shared" si="6"/>
        <v>9.218528683787354E-2</v>
      </c>
      <c r="M49" s="11">
        <f t="shared" si="7"/>
        <v>0.61603427282508361</v>
      </c>
      <c r="N49" s="11">
        <f>ATAN($M49+$F49-$D49*SIN($H49))</f>
        <v>0.52615847892239354</v>
      </c>
      <c r="O49" s="5">
        <f>($D49*$C49*COS($H49))+($D49*C49*($F49+$D49*COS($H49))*SIN($H49))/(SQRT($E49^2-($F49+$D49*COS($H49)^2)))</f>
        <v>-6.1231387950841792E-2</v>
      </c>
      <c r="P49" s="5">
        <f>(-$D49*$C49^2*SIN($H49))+(-$D49*$C49^2*($F49+$D49*COS($H49))*COS($H49)+$D49^2*C49^2*(SIN($H49))^2)/SQRT($E49^2-($F49+$D49*COS($H49))^2)+($D49^2*C49^2*($F49+$D49*COS($H49))^2*(SIN($H49))^2)/($E49^2-($F49+$D49*COS($H49))^2)^3/2</f>
        <v>-0.73881269704852959</v>
      </c>
      <c r="Q49" s="5">
        <f t="shared" si="8"/>
        <v>109.93189233960312</v>
      </c>
      <c r="R49" s="12">
        <f t="shared" si="9"/>
        <v>-6.8107660396881667E-2</v>
      </c>
      <c r="S49" s="12">
        <f t="shared" si="10"/>
        <v>109.86378467920625</v>
      </c>
      <c r="T49" s="12">
        <f>($R49+$A49)/COS($N49)</f>
        <v>127.12670515327954</v>
      </c>
      <c r="U49" s="12">
        <f t="shared" si="11"/>
        <v>2.0984696789790411E-2</v>
      </c>
      <c r="V49" s="12">
        <f t="shared" si="12"/>
        <v>-7.3914331161401142E-2</v>
      </c>
      <c r="W49" s="12">
        <f t="shared" si="13"/>
        <v>88.315687448933829</v>
      </c>
      <c r="X49" s="12">
        <f>$I49*(C49^2)*$D49</f>
        <v>7.6835446575110863E-2</v>
      </c>
      <c r="Y49" s="5">
        <f>$W49*$D49</f>
        <v>8.8100880528695971</v>
      </c>
      <c r="Z49" s="5">
        <f>$Y49*C49</f>
        <v>27.677707904374326</v>
      </c>
      <c r="AA49" s="13">
        <f t="shared" si="14"/>
        <v>0.65412143654901145</v>
      </c>
      <c r="AB49" s="5">
        <f t="shared" si="15"/>
        <v>2.4271612400630995</v>
      </c>
    </row>
    <row r="50" spans="1:28" s="5" customFormat="1" ht="14" x14ac:dyDescent="0.15">
      <c r="A50" s="5">
        <v>110</v>
      </c>
      <c r="B50" s="5">
        <v>2700</v>
      </c>
      <c r="C50" s="5">
        <f t="shared" si="2"/>
        <v>3.1415926535897927</v>
      </c>
      <c r="D50" s="7">
        <v>0.13890651480280311</v>
      </c>
      <c r="E50" s="7">
        <v>0.50020846348778669</v>
      </c>
      <c r="F50" s="7">
        <v>6.7726565868801519E-2</v>
      </c>
      <c r="G50" s="7">
        <v>2.8821877448289082E-4</v>
      </c>
      <c r="H50" s="6">
        <v>2.0245798239662838</v>
      </c>
      <c r="I50" s="8">
        <f t="shared" si="3"/>
        <v>0.1080957567532143</v>
      </c>
      <c r="J50" s="8">
        <f t="shared" si="4"/>
        <v>0.38925756989753324</v>
      </c>
      <c r="K50" s="8">
        <f t="shared" si="5"/>
        <v>0.49735332665074755</v>
      </c>
      <c r="L50" s="8">
        <f t="shared" si="6"/>
        <v>9.9470665330149519E-2</v>
      </c>
      <c r="M50" s="11">
        <f t="shared" si="7"/>
        <v>0.68670943800411155</v>
      </c>
      <c r="N50" s="11">
        <f>ATAN($M50+$F50-$D50*SIN($H50))</f>
        <v>0.5618914115648812</v>
      </c>
      <c r="O50" s="5">
        <f>($D50*$C50*COS($H50))+($D50*C50*($F50+$D50*COS($H50))*SIN($H50))/(SQRT($E50^2-($F50+$D50*COS($H50)^2)))</f>
        <v>-0.18450762222041972</v>
      </c>
      <c r="P50" s="5">
        <f>(-$D50*$C50^2*SIN($H50))+(-$D50*$C50^2*($F50+$D50*COS($H50))*COS($H50)+$D50^2*C50^2*(SIN($H50))^2)/SQRT($E50^2-($F50+$D50*COS($H50))^2)+($D50^2*C50^2*($F50+$D50*COS($H50))^2*(SIN($H50))^2)/($E50^2-($F50+$D50*COS($H50))^2)^3/2</f>
        <v>-0.91618540675186966</v>
      </c>
      <c r="Q50" s="5">
        <f t="shared" si="8"/>
        <v>109.90886642802461</v>
      </c>
      <c r="R50" s="12">
        <f t="shared" si="9"/>
        <v>-9.1133571975382133E-2</v>
      </c>
      <c r="S50" s="12">
        <f t="shared" si="10"/>
        <v>109.81773285604923</v>
      </c>
      <c r="T50" s="12">
        <f>($R50+$A50)/COS($N50)</f>
        <v>129.87770602403151</v>
      </c>
      <c r="U50" s="12">
        <f t="shared" si="11"/>
        <v>6.496375064959263E-2</v>
      </c>
      <c r="V50" s="12">
        <f t="shared" si="12"/>
        <v>-0.1331961402603104</v>
      </c>
      <c r="W50" s="12">
        <f t="shared" si="13"/>
        <v>68.451589034713564</v>
      </c>
      <c r="X50" s="12">
        <f>$I50*(C50^2)*$D50</f>
        <v>0.14819413172830673</v>
      </c>
      <c r="Y50" s="5">
        <f>$W50*$D50</f>
        <v>9.5083716655258339</v>
      </c>
      <c r="Z50" s="5">
        <f>$Y50*C50</f>
        <v>29.871430572017299</v>
      </c>
      <c r="AA50" s="13">
        <f t="shared" si="14"/>
        <v>0.5093036563632608</v>
      </c>
      <c r="AB50" s="5">
        <f t="shared" si="15"/>
        <v>1.9595990072284946</v>
      </c>
    </row>
    <row r="51" spans="1:28" s="5" customFormat="1" ht="14" x14ac:dyDescent="0.15">
      <c r="A51" s="5">
        <v>110</v>
      </c>
      <c r="B51" s="5">
        <v>2700</v>
      </c>
      <c r="C51" s="5">
        <f t="shared" si="2"/>
        <v>3.1415926535897927</v>
      </c>
      <c r="D51" s="7">
        <v>0.16871771142855144</v>
      </c>
      <c r="E51" s="7">
        <v>0.4391555195769985</v>
      </c>
      <c r="F51" s="7">
        <v>0.13060715692389283</v>
      </c>
      <c r="G51" s="7">
        <v>2.3827473575914774E-4</v>
      </c>
      <c r="H51" s="6">
        <v>1.4568847634536204</v>
      </c>
      <c r="I51" s="8">
        <f t="shared" si="3"/>
        <v>0.10854315389302084</v>
      </c>
      <c r="J51" s="8">
        <f t="shared" si="4"/>
        <v>0.28252709653782748</v>
      </c>
      <c r="K51" s="8">
        <f t="shared" si="5"/>
        <v>0.39107025043084831</v>
      </c>
      <c r="L51" s="8">
        <f t="shared" si="6"/>
        <v>7.8214050086169662E-2</v>
      </c>
      <c r="M51" s="11">
        <f t="shared" si="7"/>
        <v>0.60436038677790738</v>
      </c>
      <c r="N51" s="11">
        <f>ATAN($M51+$F51-$D51*SIN($H51))</f>
        <v>0.51606101093566292</v>
      </c>
      <c r="O51" s="5">
        <f>($D51*$C51*COS($H51))+($D51*C51*($F51+$D51*COS($H51))*SIN($H51))/(SQRT($E51^2-($F51+$D51*COS($H51)^2)))</f>
        <v>0.38207459897464691</v>
      </c>
      <c r="P51" s="5">
        <f>(-$D51*$C51^2*SIN($H51))+(-$D51*$C51^2*($F51+$D51*COS($H51))*COS($H51)+$D51^2*C51^2*(SIN($H51))^2)/SQRT($E51^2-($F51+$D51*COS($H51))^2)+($D51^2*C51^2*($F51+$D51*COS($H51))^2*(SIN($H51))^2)/($E51^2-($F51+$D51*COS($H51))^2)^3/2</f>
        <v>-0.42281378282398341</v>
      </c>
      <c r="Q51" s="5">
        <f t="shared" si="8"/>
        <v>109.96693002161308</v>
      </c>
      <c r="R51" s="12">
        <f t="shared" si="9"/>
        <v>-3.30699783869179E-2</v>
      </c>
      <c r="S51" s="12">
        <f t="shared" si="10"/>
        <v>109.93386004322616</v>
      </c>
      <c r="T51" s="12">
        <f>($R51+$A51)/COS($N51)</f>
        <v>126.43224595844701</v>
      </c>
      <c r="U51" s="12">
        <f t="shared" si="11"/>
        <v>-2.0544285438595225E-2</v>
      </c>
      <c r="V51" s="12">
        <f t="shared" si="12"/>
        <v>-0.17957218792035609</v>
      </c>
      <c r="W51" s="12">
        <f t="shared" si="13"/>
        <v>116.34571307823423</v>
      </c>
      <c r="X51" s="12">
        <f>$I51*(C51^2)*$D51</f>
        <v>0.18074357067040078</v>
      </c>
      <c r="Y51" s="5">
        <f>$W51*$D51</f>
        <v>19.629582445082566</v>
      </c>
      <c r="Z51" s="5">
        <f>$Y51*C51</f>
        <v>61.668152002506545</v>
      </c>
      <c r="AA51" s="13">
        <f t="shared" si="14"/>
        <v>0.88531819345664742</v>
      </c>
      <c r="AB51" s="5">
        <f t="shared" si="15"/>
        <v>3.583067644025888</v>
      </c>
    </row>
    <row r="52" spans="1:28" s="5" customFormat="1" ht="14" x14ac:dyDescent="0.15">
      <c r="A52" s="5">
        <v>110</v>
      </c>
      <c r="B52" s="5">
        <v>2700</v>
      </c>
      <c r="C52" s="5">
        <f t="shared" si="2"/>
        <v>3.1415926535897927</v>
      </c>
      <c r="D52" s="7">
        <v>0.19551719104101944</v>
      </c>
      <c r="E52" s="7">
        <v>0.55064391609179375</v>
      </c>
      <c r="F52" s="7">
        <v>0.14025489540914332</v>
      </c>
      <c r="G52" s="7">
        <v>4.8700262160327975E-4</v>
      </c>
      <c r="H52" s="6">
        <v>1.5411525431615343</v>
      </c>
      <c r="I52" s="8">
        <f t="shared" si="3"/>
        <v>0.25708693843481151</v>
      </c>
      <c r="J52" s="8">
        <f t="shared" si="4"/>
        <v>0.72404558290781995</v>
      </c>
      <c r="K52" s="8">
        <f t="shared" si="5"/>
        <v>0.9811325213426314</v>
      </c>
      <c r="L52" s="8">
        <f t="shared" si="6"/>
        <v>0.19622650426852628</v>
      </c>
      <c r="M52" s="11">
        <f t="shared" si="7"/>
        <v>0.7585344238137296</v>
      </c>
      <c r="N52" s="11">
        <f>ATAN($M52+$F52-$D52*SIN($H52))</f>
        <v>0.61297612057105533</v>
      </c>
      <c r="O52" s="5">
        <f>($D52*$C52*COS($H52))+($D52*C52*($F52+$D52*COS($H52))*SIN($H52))/(SQRT($E52^2-($F52+$D52*COS($H52)^2)))</f>
        <v>0.24045571598276927</v>
      </c>
      <c r="P52" s="5">
        <f>(-$D52*$C52^2*SIN($H52))+(-$D52*$C52^2*($F52+$D52*COS($H52))*COS($H52)+$D52^2*C52^2*(SIN($H52))^2)/SQRT($E52^2-($F52+$D52*COS($H52))^2)+($D52^2*C52^2*($F52+$D52*COS($H52))^2*(SIN($H52))^2)/($E52^2-($F52+$D52*COS($H52))^2)^3/2</f>
        <v>-1.0550599111121368</v>
      </c>
      <c r="Q52" s="5">
        <f t="shared" si="8"/>
        <v>109.79296928184861</v>
      </c>
      <c r="R52" s="12">
        <f t="shared" si="9"/>
        <v>-0.20703071815139668</v>
      </c>
      <c r="S52" s="12">
        <f t="shared" si="10"/>
        <v>109.58593856369721</v>
      </c>
      <c r="T52" s="12">
        <f>($R52+$A52)/COS($N52)</f>
        <v>134.23116697991816</v>
      </c>
      <c r="U52" s="12">
        <f t="shared" si="11"/>
        <v>-1.4703974251643444E-2</v>
      </c>
      <c r="V52" s="12">
        <f t="shared" si="12"/>
        <v>-0.49587688005104508</v>
      </c>
      <c r="W52" s="12">
        <f t="shared" si="13"/>
        <v>112.03360167432368</v>
      </c>
      <c r="X52" s="12">
        <f>$I52*(C52^2)*$D52</f>
        <v>0.49609483672776872</v>
      </c>
      <c r="Y52" s="5">
        <f>$W52*$D52</f>
        <v>21.90449510157222</v>
      </c>
      <c r="Z52" s="5">
        <f>$Y52*C52</f>
        <v>68.81500089169289</v>
      </c>
      <c r="AA52" s="13">
        <f t="shared" si="14"/>
        <v>0.79999594430999432</v>
      </c>
      <c r="AB52" s="5">
        <f t="shared" si="15"/>
        <v>3.075753885152396</v>
      </c>
    </row>
    <row r="53" spans="1:28" s="5" customFormat="1" ht="14" x14ac:dyDescent="0.15">
      <c r="A53" s="5">
        <v>110</v>
      </c>
      <c r="B53" s="5">
        <v>2700</v>
      </c>
      <c r="C53" s="5">
        <f t="shared" si="2"/>
        <v>3.1415926535897927</v>
      </c>
      <c r="D53" s="7">
        <v>8.1096266580566456E-2</v>
      </c>
      <c r="E53" s="7">
        <v>0.2676251562051164</v>
      </c>
      <c r="F53" s="7">
        <v>6.6950181459092942E-2</v>
      </c>
      <c r="G53" s="7">
        <v>4.6068505698439931E-4</v>
      </c>
      <c r="H53" s="6">
        <v>1.3717914991090268</v>
      </c>
      <c r="I53" s="8">
        <f t="shared" si="3"/>
        <v>0.10087156311540381</v>
      </c>
      <c r="J53" s="8">
        <f t="shared" si="4"/>
        <v>0.33288545790939461</v>
      </c>
      <c r="K53" s="8">
        <f t="shared" si="5"/>
        <v>0.43375702102479841</v>
      </c>
      <c r="L53" s="8">
        <f t="shared" si="6"/>
        <v>8.6751404204959692E-2</v>
      </c>
      <c r="M53" s="11">
        <f t="shared" si="7"/>
        <v>0.32459431487611068</v>
      </c>
      <c r="N53" s="11">
        <f>ATAN($M53+$F53-$D53*SIN($H53))</f>
        <v>0.30247372300966219</v>
      </c>
      <c r="O53" s="5">
        <f>($D53*$C53*COS($H53))+($D53*C53*($F53+$D53*COS($H53))*SIN($H53))/(SQRT($E53^2-($F53+$D53*COS($H53)^2)))</f>
        <v>0.58483061794069302</v>
      </c>
      <c r="P53" s="5">
        <f>(-$D53*$C53^2*SIN($H53))+(-$D53*$C53^2*($F53+$D53*COS($H53))*COS($H53)+$D53^2*C53^2*(SIN($H53))^2)/SQRT($E53^2-($F53+$D53*COS($H53))^2)+($D53^2*C53^2*($F53+$D53*COS($H53))^2*(SIN($H53))^2)/($E53^2-($F53+$D53*COS($H53))^2)^3/2</f>
        <v>0.20047315007354283</v>
      </c>
      <c r="Q53" s="5">
        <f t="shared" si="8"/>
        <v>110.01739132727427</v>
      </c>
      <c r="R53" s="12">
        <f t="shared" si="9"/>
        <v>1.7391327274271458E-2</v>
      </c>
      <c r="S53" s="12">
        <f t="shared" si="10"/>
        <v>110.03478265454854</v>
      </c>
      <c r="T53" s="12">
        <f>($R53+$A53)/COS($N53)</f>
        <v>115.24942336657635</v>
      </c>
      <c r="U53" s="12">
        <f t="shared" si="11"/>
        <v>-1.5961092727368863E-2</v>
      </c>
      <c r="V53" s="12">
        <f t="shared" si="12"/>
        <v>-7.9142966241703763E-2</v>
      </c>
      <c r="W53" s="12">
        <f t="shared" si="13"/>
        <v>114.63305420833545</v>
      </c>
      <c r="X53" s="12">
        <f>$I53*(C53^2)*$D53</f>
        <v>8.073639567498124E-2</v>
      </c>
      <c r="Y53" s="5">
        <f>$W53*$D53</f>
        <v>9.2963127230236964</v>
      </c>
      <c r="Z53" s="5">
        <f>$Y53*C53</f>
        <v>29.205227756124565</v>
      </c>
      <c r="AA53" s="13">
        <f t="shared" si="14"/>
        <v>0.97120143153124261</v>
      </c>
      <c r="AB53" s="5">
        <f t="shared" si="15"/>
        <v>4.2395253502089467</v>
      </c>
    </row>
    <row r="54" spans="1:28" s="5" customFormat="1" ht="14" x14ac:dyDescent="0.15">
      <c r="A54" s="5">
        <v>110</v>
      </c>
      <c r="B54" s="5">
        <v>2700</v>
      </c>
      <c r="C54" s="5">
        <f t="shared" si="2"/>
        <v>3.1415926535897927</v>
      </c>
      <c r="D54" s="7">
        <v>9.7272995836829551E-2</v>
      </c>
      <c r="E54" s="7">
        <v>0.72080982095422452</v>
      </c>
      <c r="F54" s="7">
        <v>8.6847799764849104E-2</v>
      </c>
      <c r="G54" s="7">
        <v>3.3800939898107974E-4</v>
      </c>
      <c r="H54" s="6">
        <v>1.4202357982466478</v>
      </c>
      <c r="I54" s="8">
        <f t="shared" si="3"/>
        <v>8.8773804521718749E-2</v>
      </c>
      <c r="J54" s="8">
        <f t="shared" si="4"/>
        <v>0.65782933477307226</v>
      </c>
      <c r="K54" s="8">
        <f t="shared" si="5"/>
        <v>0.74660313929479105</v>
      </c>
      <c r="L54" s="8">
        <f t="shared" si="6"/>
        <v>0.14932062785895822</v>
      </c>
      <c r="M54" s="11">
        <f t="shared" si="7"/>
        <v>0.81207697843510185</v>
      </c>
      <c r="N54" s="11">
        <f>ATAN($M54+$F54-$D54*SIN($H54))</f>
        <v>0.67641687135605799</v>
      </c>
      <c r="O54" s="5">
        <f>($D54*$C54*COS($H54))+($D54*C54*($F54+$D54*COS($H54))*SIN($H54))/(SQRT($E54^2-($F54+$D54*COS($H54)^2)))</f>
        <v>9.2545391679909911E-2</v>
      </c>
      <c r="P54" s="5">
        <f>(-$D54*$C54^2*SIN($H54))+(-$D54*$C54^2*($F54+$D54*COS($H54))*COS($H54)+$D54^2*C54^2*(SIN($H54))^2)/SQRT($E54^2-($F54+$D54*COS($H54))^2)+($D54^2*C54^2*($F54+$D54*COS($H54))^2*(SIN($H54))^2)/($E54^2-($F54+$D54*COS($H54))^2)^3/2</f>
        <v>-0.83818194817398262</v>
      </c>
      <c r="Q54" s="5">
        <f t="shared" si="8"/>
        <v>109.87484214523862</v>
      </c>
      <c r="R54" s="12">
        <f t="shared" si="9"/>
        <v>-0.12515785476138386</v>
      </c>
      <c r="S54" s="12">
        <f t="shared" si="10"/>
        <v>109.74968429047723</v>
      </c>
      <c r="T54" s="12">
        <f>($R54+$A54)/COS($N54)</f>
        <v>140.89755820657183</v>
      </c>
      <c r="U54" s="12">
        <f t="shared" si="11"/>
        <v>-1.2783387678363591E-2</v>
      </c>
      <c r="V54" s="12">
        <f t="shared" si="12"/>
        <v>-8.4262776029206884E-2</v>
      </c>
      <c r="W54" s="12">
        <f t="shared" si="13"/>
        <v>121.86151107330105</v>
      </c>
      <c r="X54" s="12">
        <f>$I54*(C54^2)*$D54</f>
        <v>8.5226934854443867E-2</v>
      </c>
      <c r="Y54" s="5">
        <f>$W54*$D54</f>
        <v>11.853834259302971</v>
      </c>
      <c r="Z54" s="5">
        <f>$Y54*C54</f>
        <v>37.239918625897218</v>
      </c>
      <c r="AA54" s="13">
        <f t="shared" si="14"/>
        <v>1.1035796965706668</v>
      </c>
      <c r="AB54" s="5">
        <f t="shared" si="15"/>
        <v>5.7240599977831668</v>
      </c>
    </row>
    <row r="55" spans="1:28" s="5" customFormat="1" ht="14" x14ac:dyDescent="0.15">
      <c r="A55" s="5">
        <v>110</v>
      </c>
      <c r="B55" s="5">
        <v>2700</v>
      </c>
      <c r="C55" s="5">
        <f t="shared" si="2"/>
        <v>3.1415926535897927</v>
      </c>
      <c r="D55" s="7">
        <v>0.14425472780735857</v>
      </c>
      <c r="E55" s="7">
        <v>0.53847150061669269</v>
      </c>
      <c r="F55" s="7">
        <v>5.3172354834210789E-2</v>
      </c>
      <c r="G55" s="7">
        <v>3.9713816152175697E-4</v>
      </c>
      <c r="H55" s="6">
        <v>1.1555210141357832</v>
      </c>
      <c r="I55" s="8">
        <f t="shared" si="3"/>
        <v>0.15468045495903682</v>
      </c>
      <c r="J55" s="8">
        <f t="shared" si="4"/>
        <v>0.57738847082429234</v>
      </c>
      <c r="K55" s="8">
        <f t="shared" si="5"/>
        <v>0.73206892578332916</v>
      </c>
      <c r="L55" s="8">
        <f t="shared" si="6"/>
        <v>0.14641378515666584</v>
      </c>
      <c r="M55" s="11">
        <f t="shared" si="7"/>
        <v>0.61632890882011004</v>
      </c>
      <c r="N55" s="11">
        <f>ATAN($M55+$F55-$D55*SIN($H55))</f>
        <v>0.49320141811204454</v>
      </c>
      <c r="O55" s="5">
        <f>($D55*$C55*COS($H55))+($D55*C55*($F55+$D55*COS($H55))*SIN($H55))/(SQRT($E55^2-($F55+$D55*COS($H55)^2)))</f>
        <v>0.28283098259887379</v>
      </c>
      <c r="P55" s="5">
        <f>(-$D55*$C55^2*SIN($H55))+(-$D55*$C55^2*($F55+$D55*COS($H55))*COS($H55)+$D55^2*C55^2*(SIN($H55))^2)/SQRT($E55^2-($F55+$D55*COS($H55))^2)+($D55^2*C55^2*($F55+$D55*COS($H55))^2*(SIN($H55))^2)/($E55^2-($F55+$D55*COS($H55))^2)^3/2</f>
        <v>-1.0478849743173939</v>
      </c>
      <c r="Q55" s="5">
        <f t="shared" si="8"/>
        <v>109.8465751945014</v>
      </c>
      <c r="R55" s="12">
        <f t="shared" si="9"/>
        <v>-0.15342480549860521</v>
      </c>
      <c r="S55" s="12">
        <f t="shared" si="10"/>
        <v>109.6931503890028</v>
      </c>
      <c r="T55" s="12">
        <f>($R55+$A55)/COS($N55)</f>
        <v>124.70921074161107</v>
      </c>
      <c r="U55" s="12">
        <f t="shared" si="11"/>
        <v>-8.8847701549298733E-2</v>
      </c>
      <c r="V55" s="12">
        <f t="shared" si="12"/>
        <v>-0.20150639950537363</v>
      </c>
      <c r="W55" s="12">
        <f t="shared" si="13"/>
        <v>124.33075534950673</v>
      </c>
      <c r="X55" s="12">
        <f>$I55*(C55^2)*$D55</f>
        <v>0.22022430182024078</v>
      </c>
      <c r="Y55" s="5">
        <f>$W55*$D55</f>
        <v>17.935299271026384</v>
      </c>
      <c r="Z55" s="5">
        <f>$Y55*C55</f>
        <v>56.345404429790854</v>
      </c>
      <c r="AA55" s="13">
        <f t="shared" si="14"/>
        <v>0.37750299037534102</v>
      </c>
      <c r="AB55" s="5">
        <f t="shared" si="15"/>
        <v>1.6327077824938312</v>
      </c>
    </row>
    <row r="56" spans="1:28" s="5" customFormat="1" ht="14" x14ac:dyDescent="0.15">
      <c r="A56" s="5">
        <v>110</v>
      </c>
      <c r="B56" s="5">
        <v>2700</v>
      </c>
      <c r="C56" s="5">
        <f t="shared" si="2"/>
        <v>3.1415926535897927</v>
      </c>
      <c r="D56" s="7">
        <v>0.16462907731829157</v>
      </c>
      <c r="E56" s="7">
        <v>0.29240250017099167</v>
      </c>
      <c r="F56" s="7">
        <v>5.6562360874395617E-2</v>
      </c>
      <c r="G56" s="7">
        <v>1.2621697724287322E-4</v>
      </c>
      <c r="H56" s="6">
        <v>1.8211681944531508</v>
      </c>
      <c r="I56" s="8">
        <f t="shared" si="3"/>
        <v>5.6103258164574669E-2</v>
      </c>
      <c r="J56" s="8">
        <f t="shared" si="4"/>
        <v>9.9646631216571482E-2</v>
      </c>
      <c r="K56" s="8">
        <f t="shared" si="5"/>
        <v>0.15574988938114614</v>
      </c>
      <c r="L56" s="8">
        <f t="shared" si="6"/>
        <v>3.114997787622923E-2</v>
      </c>
      <c r="M56" s="11">
        <f t="shared" si="7"/>
        <v>0.51934002611875285</v>
      </c>
      <c r="N56" s="11">
        <f>ATAN($M56+$F56-$D56*SIN($H56))</f>
        <v>0.39456932173497938</v>
      </c>
      <c r="O56" s="5">
        <f>($D56*$C56*COS($H56))+($D56*C56*($F56+$D56*COS($H56))*SIN($H56))/(SQRT($E56^2-($F56+$D56*COS($H56)^2)))</f>
        <v>-7.0548083169655829E-2</v>
      </c>
      <c r="P56" s="5">
        <f>(-$D56*$C56^2*SIN($H56))+(-$D56*$C56^2*($F56+$D56*COS($H56))*COS($H56)+$D56^2*C56^2*(SIN($H56))^2)/SQRT($E56^2-($F56+$D56*COS($H56))^2)+($D56^2*C56^2*($F56+$D56*COS($H56))^2*(SIN($H56))^2)/($E56^2-($F56+$D56*COS($H56))^2)^3/2</f>
        <v>-0.64209843509170783</v>
      </c>
      <c r="Q56" s="5">
        <f t="shared" si="8"/>
        <v>109.97999864795253</v>
      </c>
      <c r="R56" s="12">
        <f t="shared" si="9"/>
        <v>-2.0001352047468109E-2</v>
      </c>
      <c r="S56" s="12">
        <f t="shared" si="10"/>
        <v>109.95999729590505</v>
      </c>
      <c r="T56" s="12">
        <f>($R56+$A56)/COS($N56)</f>
        <v>119.13399160036714</v>
      </c>
      <c r="U56" s="12">
        <f t="shared" si="11"/>
        <v>2.2585671842833058E-2</v>
      </c>
      <c r="V56" s="12">
        <f t="shared" si="12"/>
        <v>-8.8315641302770032E-2</v>
      </c>
      <c r="W56" s="12">
        <f t="shared" si="13"/>
        <v>95.204156960271021</v>
      </c>
      <c r="X56" s="12">
        <f>$I56*(C56^2)*$D56</f>
        <v>9.1157912828847082E-2</v>
      </c>
      <c r="Y56" s="5">
        <f>$W56*$D56</f>
        <v>15.673372517235224</v>
      </c>
      <c r="Z56" s="5">
        <f>$Y56*C56</f>
        <v>49.239351957122338</v>
      </c>
      <c r="AA56" s="13">
        <f t="shared" si="14"/>
        <v>0.35072051262049952</v>
      </c>
      <c r="AB56" s="5">
        <f t="shared" si="15"/>
        <v>1.5749159331673592</v>
      </c>
    </row>
    <row r="57" spans="1:28" s="5" customFormat="1" ht="14" x14ac:dyDescent="0.15">
      <c r="A57" s="5">
        <v>110</v>
      </c>
      <c r="B57" s="5">
        <v>2700</v>
      </c>
      <c r="C57" s="5">
        <f t="shared" si="2"/>
        <v>3.1415926535897927</v>
      </c>
      <c r="D57" s="7">
        <v>0.177996472972546</v>
      </c>
      <c r="E57" s="7">
        <v>0.56857972544704027</v>
      </c>
      <c r="F57" s="7">
        <v>5.0216884550949838E-2</v>
      </c>
      <c r="G57" s="7">
        <v>1.7080734839448327E-4</v>
      </c>
      <c r="H57" s="6">
        <v>0.82315821109448917</v>
      </c>
      <c r="I57" s="8">
        <f t="shared" si="3"/>
        <v>8.2088385044429404E-2</v>
      </c>
      <c r="J57" s="8">
        <f t="shared" si="4"/>
        <v>0.26221750718707509</v>
      </c>
      <c r="K57" s="8">
        <f t="shared" si="5"/>
        <v>0.34430589223150448</v>
      </c>
      <c r="L57" s="8">
        <f t="shared" si="6"/>
        <v>6.8861178446300894E-2</v>
      </c>
      <c r="M57" s="11">
        <f t="shared" si="7"/>
        <v>0.58305411751658809</v>
      </c>
      <c r="N57" s="11">
        <f>ATAN($M57+$F57-$D57*SIN($H57))</f>
        <v>0.46584260331711608</v>
      </c>
      <c r="O57" s="5">
        <f>($D57*$C57*COS($H57))+($D57*C57*($F57+$D57*COS($H57))*SIN($H57))/(SQRT($E57^2-($F57+$D57*COS($H57)^2)))</f>
        <v>0.54095773422810745</v>
      </c>
      <c r="P57" s="5">
        <f>(-$D57*$C57^2*SIN($H57))+(-$D57*$C57^2*($F57+$D57*COS($H57))*COS($H57)+$D57^2*C57^2*(SIN($H57))^2)/SQRT($E57^2-($F57+$D57*COS($H57))^2)+($D57^2*C57^2*($F57+$D57*COS($H57))^2*(SIN($H57))^2)/($E57^2-($F57+$D57*COS($H57))^2)^3/2</f>
        <v>-1.2582891200970248</v>
      </c>
      <c r="Q57" s="5">
        <f t="shared" si="8"/>
        <v>109.91335272836396</v>
      </c>
      <c r="R57" s="12">
        <f t="shared" si="9"/>
        <v>-8.6647271636040163E-2</v>
      </c>
      <c r="S57" s="12">
        <f t="shared" si="10"/>
        <v>109.82670545672792</v>
      </c>
      <c r="T57" s="12">
        <f>($R57+$A57)/COS($N57)</f>
        <v>123.02217690920475</v>
      </c>
      <c r="U57" s="12">
        <f t="shared" si="11"/>
        <v>-9.8049063436168066E-2</v>
      </c>
      <c r="V57" s="12">
        <f t="shared" si="12"/>
        <v>-0.10574811408427992</v>
      </c>
      <c r="W57" s="12">
        <f t="shared" si="13"/>
        <v>118.16989800083137</v>
      </c>
      <c r="X57" s="12">
        <f>$I57*(C57^2)*$D57</f>
        <v>0.14420916223697991</v>
      </c>
      <c r="Y57" s="5">
        <f>$W57*$D57</f>
        <v>21.0338250556735</v>
      </c>
      <c r="Z57" s="5">
        <f>$Y57*C57</f>
        <v>66.079710271796785</v>
      </c>
      <c r="AA57" s="13">
        <f t="shared" si="14"/>
        <v>0.28600619872434285</v>
      </c>
      <c r="AB57" s="5">
        <f t="shared" si="15"/>
        <v>1.4452185496690504</v>
      </c>
    </row>
    <row r="58" spans="1:28" s="5" customFormat="1" ht="14" x14ac:dyDescent="0.15">
      <c r="A58" s="5">
        <v>110</v>
      </c>
      <c r="B58" s="5">
        <v>2700</v>
      </c>
      <c r="C58" s="5">
        <f t="shared" si="2"/>
        <v>3.1415926535897927</v>
      </c>
      <c r="D58" s="7">
        <v>0.15024253830708145</v>
      </c>
      <c r="E58" s="7">
        <v>0.73737088138252571</v>
      </c>
      <c r="F58" s="7">
        <v>0.14209764389489732</v>
      </c>
      <c r="G58" s="7">
        <v>1.5626733920908351E-4</v>
      </c>
      <c r="H58" s="6">
        <v>1.8047375045466949</v>
      </c>
      <c r="I58" s="8">
        <f t="shared" si="3"/>
        <v>6.3390604582619331E-2</v>
      </c>
      <c r="J58" s="8">
        <f t="shared" si="4"/>
        <v>0.31111286123854087</v>
      </c>
      <c r="K58" s="8">
        <f t="shared" si="5"/>
        <v>0.37450346582116023</v>
      </c>
      <c r="L58" s="8">
        <f t="shared" si="6"/>
        <v>7.4900693164232049E-2</v>
      </c>
      <c r="M58" s="11">
        <f t="shared" si="7"/>
        <v>0.9199301516404812</v>
      </c>
      <c r="N58" s="11">
        <f>ATAN($M58+$F58-$D58*SIN($H58))</f>
        <v>0.74151843973283738</v>
      </c>
      <c r="O58" s="5">
        <f>($D58*$C58*COS($H58))+($D58*C58*($F58+$D58*COS($H58))*SIN($H58))/(SQRT($E58^2-($F58+$D58*COS($H58)^2)))</f>
        <v>-3.0905497299415066E-2</v>
      </c>
      <c r="P58" s="5">
        <f>(-$D58*$C58^2*SIN($H58))+(-$D58*$C58^2*($F58+$D58*COS($H58))*COS($H58)+$D58^2*C58^2*(SIN($H58))^2)/SQRT($E58^2-($F58+$D58*COS($H58))^2)+($D58^2*C58^2*($F58+$D58*COS($H58))^2*(SIN($H58))^2)/($E58^2-($F58+$D58*COS($H58))^2)^3/2</f>
        <v>-1.0948808606232381</v>
      </c>
      <c r="Q58" s="5">
        <f t="shared" si="8"/>
        <v>109.91799266460706</v>
      </c>
      <c r="R58" s="12">
        <f t="shared" si="9"/>
        <v>-8.2007335392931466E-2</v>
      </c>
      <c r="S58" s="12">
        <f t="shared" si="10"/>
        <v>109.83598532921413</v>
      </c>
      <c r="T58" s="12">
        <f>($R58+$A58)/COS($N58)</f>
        <v>149.05269576998444</v>
      </c>
      <c r="U58" s="12">
        <f t="shared" si="11"/>
        <v>2.1789917829259632E-2</v>
      </c>
      <c r="V58" s="12">
        <f t="shared" si="12"/>
        <v>-9.1437302482369254E-2</v>
      </c>
      <c r="W58" s="12">
        <f t="shared" si="13"/>
        <v>83.58689876916344</v>
      </c>
      <c r="X58" s="12">
        <f>$I58*(C58^2)*$D58</f>
        <v>9.3997770208969197E-2</v>
      </c>
      <c r="Y58" s="5">
        <f>$W58*$D58</f>
        <v>12.558307840296179</v>
      </c>
      <c r="Z58" s="5">
        <f>$Y58*C58</f>
        <v>39.453087652593567</v>
      </c>
      <c r="AA58" s="13">
        <f t="shared" si="14"/>
        <v>1.2400134254939097</v>
      </c>
      <c r="AB58" s="5">
        <f t="shared" si="15"/>
        <v>8.4974457302168318</v>
      </c>
    </row>
    <row r="59" spans="1:28" s="5" customFormat="1" ht="14" x14ac:dyDescent="0.15">
      <c r="A59" s="5">
        <v>110</v>
      </c>
      <c r="B59" s="5">
        <v>2700</v>
      </c>
      <c r="C59" s="5">
        <f t="shared" si="2"/>
        <v>3.1415926535897927</v>
      </c>
      <c r="D59" s="7">
        <v>0.13448378933193089</v>
      </c>
      <c r="E59" s="7">
        <v>0.52296051800811083</v>
      </c>
      <c r="F59" s="7">
        <v>5.4642873429508465E-2</v>
      </c>
      <c r="G59" s="7">
        <v>2.4344736741885396E-4</v>
      </c>
      <c r="H59" s="6">
        <v>1.8448457334238735</v>
      </c>
      <c r="I59" s="8">
        <f t="shared" si="3"/>
        <v>8.8397256078099895E-2</v>
      </c>
      <c r="J59" s="8">
        <f t="shared" si="4"/>
        <v>0.34374607570730181</v>
      </c>
      <c r="K59" s="8">
        <f t="shared" si="5"/>
        <v>0.43214333178540171</v>
      </c>
      <c r="L59" s="8">
        <f t="shared" si="6"/>
        <v>8.6428666357080353E-2</v>
      </c>
      <c r="M59" s="11">
        <f t="shared" si="7"/>
        <v>0.68881232328799924</v>
      </c>
      <c r="N59" s="11">
        <f>ATAN($M59+$F59-$D59*SIN($H59))</f>
        <v>0.55064277381139093</v>
      </c>
      <c r="O59" s="5">
        <f>($D59*$C59*COS($H59))+($D59*C59*($F59+$D59*COS($H59))*SIN($H59))/(SQRT($E59^2-($F59+$D59*COS($H59)^2)))</f>
        <v>-9.8105902949555832E-2</v>
      </c>
      <c r="P59" s="5">
        <f>(-$D59*$C59^2*SIN($H59))+(-$D59*$C59^2*($F59+$D59*COS($H59))*COS($H59)+$D59^2*C59^2*(SIN($H59))^2)/SQRT($E59^2-($F59+$D59*COS($H59))^2)+($D59^2*C59^2*($F59+$D59*COS($H59))^2*(SIN($H59))^2)/($E59^2-($F59+$D59*COS($H59))^2)^3/2</f>
        <v>-0.94735772974932286</v>
      </c>
      <c r="Q59" s="5">
        <f t="shared" si="8"/>
        <v>109.91812113485469</v>
      </c>
      <c r="R59" s="12">
        <f t="shared" si="9"/>
        <v>-8.1878865145305318E-2</v>
      </c>
      <c r="S59" s="12">
        <f t="shared" si="10"/>
        <v>109.83624226970939</v>
      </c>
      <c r="T59" s="12">
        <f>($R59+$A59)/COS($N59)</f>
        <v>128.98336118035456</v>
      </c>
      <c r="U59" s="12">
        <f t="shared" si="11"/>
        <v>3.1753201342633167E-2</v>
      </c>
      <c r="V59" s="12">
        <f t="shared" si="12"/>
        <v>-0.11295142699757947</v>
      </c>
      <c r="W59" s="12">
        <f t="shared" si="13"/>
        <v>87.551718223921171</v>
      </c>
      <c r="X59" s="12">
        <f>$I59*(C59^2)*$D59</f>
        <v>0.11732983702492442</v>
      </c>
      <c r="Y59" s="5">
        <f>$W59*$D59</f>
        <v>11.77428682927439</v>
      </c>
      <c r="Z59" s="5">
        <f>$Y59*C59</f>
        <v>36.990013004107475</v>
      </c>
      <c r="AA59" s="13">
        <f t="shared" si="14"/>
        <v>0.41841827536662574</v>
      </c>
      <c r="AB59" s="5">
        <f t="shared" si="15"/>
        <v>1.726182305968138</v>
      </c>
    </row>
    <row r="60" spans="1:28" s="5" customFormat="1" ht="14" x14ac:dyDescent="0.15">
      <c r="A60" s="5">
        <v>110</v>
      </c>
      <c r="B60" s="5">
        <v>2700</v>
      </c>
      <c r="C60" s="5">
        <f t="shared" si="2"/>
        <v>3.1415926535897927</v>
      </c>
      <c r="D60" s="7">
        <v>9.1814192862604255E-2</v>
      </c>
      <c r="E60" s="7">
        <v>0.59293700927289683</v>
      </c>
      <c r="F60" s="7">
        <v>7.1426459701527126E-2</v>
      </c>
      <c r="G60" s="7">
        <v>4.2620969536826572E-4</v>
      </c>
      <c r="H60" s="6">
        <v>2.0912825732499929</v>
      </c>
      <c r="I60" s="8">
        <f t="shared" si="3"/>
        <v>0.10565666776022514</v>
      </c>
      <c r="J60" s="8">
        <f t="shared" si="4"/>
        <v>0.68233185565588406</v>
      </c>
      <c r="K60" s="8">
        <f t="shared" si="5"/>
        <v>0.78798852341610925</v>
      </c>
      <c r="L60" s="8">
        <f t="shared" si="6"/>
        <v>0.15759770468322187</v>
      </c>
      <c r="M60" s="11">
        <f t="shared" si="7"/>
        <v>0.71395508393280049</v>
      </c>
      <c r="N60" s="11">
        <f>ATAN($M60+$F60-$D60*SIN($H60))</f>
        <v>0.61455833384450942</v>
      </c>
      <c r="O60" s="5">
        <f>($D60*$C60*COS($H60))+($D60*C60*($F60+$D60*COS($H60))*SIN($H60))/(SQRT($E60^2-($F60+$D60*COS($H60)^2)))</f>
        <v>-0.13073470468295637</v>
      </c>
      <c r="P60" s="5">
        <f>(-$D60*$C60^2*SIN($H60))+(-$D60*$C60^2*($F60+$D60*COS($H60))*COS($H60)+$D60^2*C60^2*(SIN($H60))^2)/SQRT($E60^2-($F60+$D60*COS($H60))^2)+($D60^2*C60^2*($F60+$D60*COS($H60))^2*(SIN($H60))^2)/($E60^2-($F60+$D60*COS($H60))^2)^3/2</f>
        <v>-0.66037422276627844</v>
      </c>
      <c r="Q60" s="5">
        <f t="shared" si="8"/>
        <v>109.89592653826007</v>
      </c>
      <c r="R60" s="12">
        <f t="shared" si="9"/>
        <v>-0.10407346173993212</v>
      </c>
      <c r="S60" s="12">
        <f t="shared" si="10"/>
        <v>109.79185307652014</v>
      </c>
      <c r="T60" s="12">
        <f>($R60+$A60)/COS($N60)</f>
        <v>134.50689688003806</v>
      </c>
      <c r="U60" s="12">
        <f t="shared" si="11"/>
        <v>4.7613129536104234E-2</v>
      </c>
      <c r="V60" s="12">
        <f t="shared" si="12"/>
        <v>-8.306436349433996E-2</v>
      </c>
      <c r="W60" s="12">
        <f t="shared" si="13"/>
        <v>56.77428762027067</v>
      </c>
      <c r="X60" s="12">
        <f>$I60*(C60^2)*$D60</f>
        <v>9.5742877473688232E-2</v>
      </c>
      <c r="Y60" s="5">
        <f>$W60*$D60</f>
        <v>5.2126853932044961</v>
      </c>
      <c r="Z60" s="5">
        <f>$Y60*C60</f>
        <v>16.376134136766066</v>
      </c>
      <c r="AA60" s="13">
        <f t="shared" si="14"/>
        <v>0.89138976954965787</v>
      </c>
      <c r="AB60" s="5">
        <f t="shared" si="15"/>
        <v>3.6240246286816502</v>
      </c>
    </row>
    <row r="61" spans="1:28" s="5" customFormat="1" ht="14" x14ac:dyDescent="0.15">
      <c r="A61" s="5">
        <v>110</v>
      </c>
      <c r="B61" s="5">
        <v>2700</v>
      </c>
      <c r="C61" s="5">
        <f t="shared" si="2"/>
        <v>3.1415926535897927</v>
      </c>
      <c r="D61" s="7">
        <v>0.18178090751818321</v>
      </c>
      <c r="E61" s="7">
        <v>0.44483349256681293</v>
      </c>
      <c r="F61" s="7">
        <v>0.10447908766948036</v>
      </c>
      <c r="G61" s="7">
        <v>2.8509483118400791E-4</v>
      </c>
      <c r="H61" s="6">
        <v>1.5648411120749091</v>
      </c>
      <c r="I61" s="8">
        <f t="shared" si="3"/>
        <v>0.13992695228170493</v>
      </c>
      <c r="J61" s="8">
        <f t="shared" si="4"/>
        <v>0.34241326956448603</v>
      </c>
      <c r="K61" s="8">
        <f t="shared" si="5"/>
        <v>0.48234022184619096</v>
      </c>
      <c r="L61" s="8">
        <f t="shared" si="6"/>
        <v>9.6468044369238198E-2</v>
      </c>
      <c r="M61" s="11">
        <f t="shared" si="7"/>
        <v>0.63753000495463708</v>
      </c>
      <c r="N61" s="11">
        <f>ATAN($M61+$F61-$D61*SIN($H61))</f>
        <v>0.51066446812523347</v>
      </c>
      <c r="O61" s="5">
        <f>($D61*$C61*COS($H61))+($D61*C61*($F61+$D61*COS($H61))*SIN($H61))/(SQRT($E61^2-($F61+$D61*COS($H61)^2)))</f>
        <v>0.20066283053685219</v>
      </c>
      <c r="P61" s="5">
        <f>(-$D61*$C61^2*SIN($H61))+(-$D61*$C61^2*($F61+$D61*COS($H61))*COS($H61)+$D61^2*C61^2*(SIN($H61))^2)/SQRT($E61^2-($F61+$D61*COS($H61))^2)+($D61^2*C61^2*($F61+$D61*COS($H61))^2*(SIN($H61))^2)/($E61^2-($F61+$D61*COS($H61))^2)^3/2</f>
        <v>-0.76293313148059538</v>
      </c>
      <c r="Q61" s="5">
        <f t="shared" si="8"/>
        <v>109.92640133282157</v>
      </c>
      <c r="R61" s="12">
        <f t="shared" si="9"/>
        <v>-7.3598667178431915E-2</v>
      </c>
      <c r="S61" s="12">
        <f t="shared" si="10"/>
        <v>109.85280266564314</v>
      </c>
      <c r="T61" s="12">
        <f>($R61+$A61)/COS($N61)</f>
        <v>126.00170708857469</v>
      </c>
      <c r="U61" s="12">
        <f t="shared" si="11"/>
        <v>-1.4950105090970208E-3</v>
      </c>
      <c r="V61" s="12">
        <f t="shared" si="12"/>
        <v>-0.25103928339137721</v>
      </c>
      <c r="W61" s="12">
        <f t="shared" si="13"/>
        <v>110.29119719310965</v>
      </c>
      <c r="X61" s="12">
        <f>$I61*(C61^2)*$D61</f>
        <v>0.25104373495882848</v>
      </c>
      <c r="Y61" s="5">
        <f>$W61*$D61</f>
        <v>20.048833917030372</v>
      </c>
      <c r="Z61" s="5">
        <f>$Y61*C61</f>
        <v>62.985269346784484</v>
      </c>
      <c r="AA61" s="13">
        <f t="shared" si="14"/>
        <v>0.61230205032106133</v>
      </c>
      <c r="AB61" s="5">
        <f t="shared" si="15"/>
        <v>2.2776331906198415</v>
      </c>
    </row>
    <row r="62" spans="1:28" s="5" customFormat="1" ht="14" x14ac:dyDescent="0.15">
      <c r="A62" s="5">
        <v>110</v>
      </c>
      <c r="B62" s="5">
        <v>2700</v>
      </c>
      <c r="C62" s="5">
        <f t="shared" si="2"/>
        <v>3.1415926535897927</v>
      </c>
      <c r="D62" s="7">
        <v>0.17032754311827142</v>
      </c>
      <c r="E62" s="7">
        <v>0.4781611490658163</v>
      </c>
      <c r="F62" s="7">
        <v>0.13062026912853048</v>
      </c>
      <c r="G62" s="7">
        <v>1.6095199662143208E-4</v>
      </c>
      <c r="H62" s="6">
        <v>1.9706034004591702</v>
      </c>
      <c r="I62" s="8">
        <f t="shared" si="3"/>
        <v>7.4019306990173894E-2</v>
      </c>
      <c r="J62" s="8">
        <f t="shared" si="4"/>
        <v>0.20779467745214161</v>
      </c>
      <c r="K62" s="8">
        <f t="shared" si="5"/>
        <v>0.28181398444231553</v>
      </c>
      <c r="L62" s="8">
        <f t="shared" si="6"/>
        <v>5.6362796888463108E-2</v>
      </c>
      <c r="M62" s="11">
        <f t="shared" si="7"/>
        <v>0.7154627872589473</v>
      </c>
      <c r="N62" s="11">
        <f>ATAN($M62+$F62-$D62*SIN($H62))</f>
        <v>0.60343281126038328</v>
      </c>
      <c r="O62" s="5">
        <f>($D62*$C62*COS($H62))+($D62*C62*($F62+$D62*COS($H62))*SIN($H62))/(SQRT($E62^2-($F62+$D62*COS($H62)^2)))</f>
        <v>-9.0301273012528521E-2</v>
      </c>
      <c r="P62" s="5">
        <f>(-$D62*$C62^2*SIN($H62))+(-$D62*$C62^2*($F62+$D62*COS($H62))*COS($H62)+$D62^2*C62^2*(SIN($H62))^2)/SQRT($E62^2-($F62+$D62*COS($H62))^2)+($D62^2*C62^2*($F62+$D62*COS($H62))^2*(SIN($H62))^2)/($E62^2-($F62+$D62*COS($H62))^2)^3/2</f>
        <v>-0.90249141646236886</v>
      </c>
      <c r="Q62" s="5">
        <f t="shared" si="8"/>
        <v>109.94913305960034</v>
      </c>
      <c r="R62" s="12">
        <f t="shared" si="9"/>
        <v>-5.0866940399649868E-2</v>
      </c>
      <c r="S62" s="12">
        <f t="shared" si="10"/>
        <v>109.8982661192007</v>
      </c>
      <c r="T62" s="12">
        <f>($R62+$A62)/COS($N62)</f>
        <v>133.53187020865744</v>
      </c>
      <c r="U62" s="12">
        <f t="shared" si="11"/>
        <v>4.8433719019190961E-2</v>
      </c>
      <c r="V62" s="12">
        <f t="shared" si="12"/>
        <v>-0.11461816408869828</v>
      </c>
      <c r="W62" s="12">
        <f t="shared" si="13"/>
        <v>71.783155537145987</v>
      </c>
      <c r="X62" s="12">
        <f>$I62*(C62^2)*$D62</f>
        <v>0.12443130103432055</v>
      </c>
      <c r="Y62" s="5">
        <f>$W62*$D62</f>
        <v>12.226648519918816</v>
      </c>
      <c r="Z62" s="5">
        <f>$Y62*C62</f>
        <v>38.411149168201469</v>
      </c>
      <c r="AA62" s="13">
        <f t="shared" si="14"/>
        <v>0.87396079982818409</v>
      </c>
      <c r="AB62" s="5">
        <f t="shared" si="15"/>
        <v>3.5083703858570137</v>
      </c>
    </row>
    <row r="63" spans="1:28" s="5" customFormat="1" ht="14" x14ac:dyDescent="0.15">
      <c r="A63" s="5">
        <v>110</v>
      </c>
      <c r="B63" s="5">
        <v>2700</v>
      </c>
      <c r="C63" s="5">
        <f t="shared" si="2"/>
        <v>3.1415926535897927</v>
      </c>
      <c r="D63" s="7">
        <v>0.15062534790195242</v>
      </c>
      <c r="E63" s="7">
        <v>0.51094561463066335</v>
      </c>
      <c r="F63" s="7">
        <v>7.7701524802847977E-2</v>
      </c>
      <c r="G63" s="7">
        <v>1.0811732157190158E-4</v>
      </c>
      <c r="H63" s="6">
        <v>0.3325881709928265</v>
      </c>
      <c r="I63" s="8">
        <f t="shared" si="3"/>
        <v>4.3970064775186335E-2</v>
      </c>
      <c r="J63" s="8">
        <f t="shared" si="4"/>
        <v>0.1491535925714961</v>
      </c>
      <c r="K63" s="8">
        <f t="shared" si="5"/>
        <v>0.19312365734668244</v>
      </c>
      <c r="L63" s="8">
        <f t="shared" si="6"/>
        <v>3.8624731469336489E-2</v>
      </c>
      <c r="M63" s="11">
        <f t="shared" si="7"/>
        <v>0.4023516259283535</v>
      </c>
      <c r="N63" s="11">
        <f>ATAN($M63+$F63-$D63*SIN($H63))</f>
        <v>0.40683662990682562</v>
      </c>
      <c r="O63" s="5">
        <f>($D63*$C63*COS($H63))+($D63*C63*($F63+$D63*COS($H63))*SIN($H63))/(SQRT($E63^2-($F63+$D63*COS($H63)^2)))</f>
        <v>0.60119343778898771</v>
      </c>
      <c r="P63" s="5">
        <f>(-$D63*$C63^2*SIN($H63))+(-$D63*$C63^2*($F63+$D63*COS($H63))*COS($H63)+$D63^2*C63^2*(SIN($H63))^2)/SQRT($E63^2-($F63+$D63*COS($H63))^2)+($D63^2*C63^2*($F63+$D63*COS($H63))^2*(SIN($H63))^2)/($E63^2-($F63+$D63*COS($H63))^2)^3/2</f>
        <v>-1.0440913100999387</v>
      </c>
      <c r="Q63" s="5">
        <f t="shared" si="8"/>
        <v>109.95967225351792</v>
      </c>
      <c r="R63" s="12">
        <f t="shared" si="9"/>
        <v>-4.0327746482077868E-2</v>
      </c>
      <c r="S63" s="12">
        <f t="shared" si="10"/>
        <v>109.91934450703585</v>
      </c>
      <c r="T63" s="12">
        <f>($R63+$A63)/COS($N63)</f>
        <v>119.73258325206494</v>
      </c>
      <c r="U63" s="12">
        <f t="shared" si="11"/>
        <v>-6.1784403082091773E-2</v>
      </c>
      <c r="V63" s="12">
        <f t="shared" si="12"/>
        <v>-2.1341523016308737E-2</v>
      </c>
      <c r="W63" s="12">
        <f t="shared" si="13"/>
        <v>80.683361777649338</v>
      </c>
      <c r="X63" s="12">
        <f>$I63*(C63^2)*$D63</f>
        <v>6.5366452166734784E-2</v>
      </c>
      <c r="Y63" s="5">
        <f>$W63*$D63</f>
        <v>12.152959437657522</v>
      </c>
      <c r="Z63" s="5">
        <f>$Y63*C63</f>
        <v>38.17964808871961</v>
      </c>
      <c r="AA63" s="13">
        <f t="shared" si="14"/>
        <v>0.54201070940097174</v>
      </c>
      <c r="AB63" s="5">
        <f t="shared" si="15"/>
        <v>2.0536902931710292</v>
      </c>
    </row>
    <row r="64" spans="1:28" s="5" customFormat="1" ht="14" x14ac:dyDescent="0.15">
      <c r="A64" s="5">
        <v>110</v>
      </c>
      <c r="B64" s="5">
        <v>2700</v>
      </c>
      <c r="C64" s="5">
        <f t="shared" si="2"/>
        <v>3.1415926535897927</v>
      </c>
      <c r="D64" s="7">
        <v>9.6378431251428948E-2</v>
      </c>
      <c r="E64" s="7">
        <v>0.72838350369193039</v>
      </c>
      <c r="F64" s="7">
        <v>8.1093852872363509E-2</v>
      </c>
      <c r="G64" s="7">
        <v>2.0644560161167869E-4</v>
      </c>
      <c r="H64" s="6">
        <v>1.9530165410854059</v>
      </c>
      <c r="I64" s="8">
        <f t="shared" si="3"/>
        <v>5.3721638699645871E-2</v>
      </c>
      <c r="J64" s="8">
        <f t="shared" si="4"/>
        <v>0.40600324068399801</v>
      </c>
      <c r="K64" s="8">
        <f t="shared" si="5"/>
        <v>0.45972487938364387</v>
      </c>
      <c r="L64" s="8">
        <f t="shared" si="6"/>
        <v>9.1944975876728785E-2</v>
      </c>
      <c r="M64" s="11">
        <f t="shared" si="7"/>
        <v>0.84643494649896012</v>
      </c>
      <c r="N64" s="11">
        <f>ATAN($M64+$F64-$D64*SIN($H64))</f>
        <v>0.69754782886072975</v>
      </c>
      <c r="O64" s="5">
        <f>($D64*$C64*COS($H64))+($D64*C64*($F64+$D64*COS($H64))*SIN($H64))/(SQRT($E64^2-($F64+$D64*COS($H64)^2)))</f>
        <v>-9.3724828957707673E-2</v>
      </c>
      <c r="P64" s="5">
        <f>(-$D64*$C64^2*SIN($H64))+(-$D64*$C64^2*($F64+$D64*COS($H64))*COS($H64)+$D64^2*C64^2*(SIN($H64))^2)/SQRT($E64^2-($F64+$D64*COS($H64))^2)+($D64^2*C64^2*($F64+$D64*COS($H64))^2*(SIN($H64))^2)/($E64^2-($F64+$D64*COS($H64))^2)^3/2</f>
        <v>-0.75143595882190783</v>
      </c>
      <c r="Q64" s="5">
        <f t="shared" si="8"/>
        <v>109.93090923889322</v>
      </c>
      <c r="R64" s="12">
        <f t="shared" si="9"/>
        <v>-6.9090761106786885E-2</v>
      </c>
      <c r="S64" s="12">
        <f t="shared" si="10"/>
        <v>109.86181847778643</v>
      </c>
      <c r="T64" s="12">
        <f>($R64+$A64)/COS($N64)</f>
        <v>143.43436236852364</v>
      </c>
      <c r="U64" s="12">
        <f t="shared" si="11"/>
        <v>1.9059697822380844E-2</v>
      </c>
      <c r="V64" s="12">
        <f t="shared" si="12"/>
        <v>-4.7413431850717599E-2</v>
      </c>
      <c r="W64" s="12">
        <f t="shared" si="13"/>
        <v>67.634024812647112</v>
      </c>
      <c r="X64" s="12">
        <f>$I64*(C64^2)*$D64</f>
        <v>5.1100935421409963E-2</v>
      </c>
      <c r="Y64" s="5">
        <f>$W64*$D64</f>
        <v>6.5184612106631494</v>
      </c>
      <c r="Z64" s="5">
        <f>$Y64*C64</f>
        <v>20.478349852129377</v>
      </c>
      <c r="AA64" s="13">
        <f t="shared" si="14"/>
        <v>0.99988861733456358</v>
      </c>
      <c r="AB64" s="5">
        <f t="shared" si="15"/>
        <v>4.5028029951802093</v>
      </c>
    </row>
    <row r="65" spans="1:28" s="5" customFormat="1" ht="14" x14ac:dyDescent="0.15">
      <c r="A65" s="5">
        <v>110</v>
      </c>
      <c r="B65" s="5">
        <v>2700</v>
      </c>
      <c r="C65" s="5">
        <f t="shared" si="2"/>
        <v>3.1415926535897927</v>
      </c>
      <c r="D65" s="7">
        <v>7.6466491636312459E-2</v>
      </c>
      <c r="E65" s="7">
        <v>0.39015401812767747</v>
      </c>
      <c r="F65" s="7">
        <v>5.5953835727818917E-2</v>
      </c>
      <c r="G65" s="7">
        <v>2.9691087639994855E-4</v>
      </c>
      <c r="H65" s="6">
        <v>1.1701672692157228</v>
      </c>
      <c r="I65" s="8">
        <f t="shared" si="3"/>
        <v>6.1300079226810543E-2</v>
      </c>
      <c r="J65" s="8">
        <f t="shared" si="4"/>
        <v>0.31277062292377539</v>
      </c>
      <c r="K65" s="8">
        <f t="shared" si="5"/>
        <v>0.37407070215058591</v>
      </c>
      <c r="L65" s="8">
        <f t="shared" si="6"/>
        <v>7.4814140430117179E-2</v>
      </c>
      <c r="M65" s="11">
        <f t="shared" si="7"/>
        <v>0.42471261041023417</v>
      </c>
      <c r="N65" s="11">
        <f>ATAN($M65+$F65-$D65*SIN($H65))</f>
        <v>0.38931541974213385</v>
      </c>
      <c r="O65" s="5">
        <f>($D65*$C65*COS($H65))+($D65*C65*($F65+$D65*COS($H65))*SIN($H65))/(SQRT($E65^2-($F65+$D65*COS($H65)^2)))</f>
        <v>0.15890771180118518</v>
      </c>
      <c r="P65" s="5">
        <f>(-$D65*$C65^2*SIN($H65))+(-$D65*$C65^2*($F65+$D65*COS($H65))*COS($H65)+$D65^2*C65^2*(SIN($H65))^2)/SQRT($E65^2-($F65+$D65*COS($H65))^2)+($D65^2*C65^2*($F65+$D65*COS($H65))^2*(SIN($H65))^2)/($E65^2-($F65+$D65*COS($H65))^2)^3/2</f>
        <v>-0.57349169897027685</v>
      </c>
      <c r="Q65" s="5">
        <f t="shared" si="8"/>
        <v>109.95709471149773</v>
      </c>
      <c r="R65" s="12">
        <f t="shared" si="9"/>
        <v>-4.2905288502268782E-2</v>
      </c>
      <c r="S65" s="12">
        <f t="shared" si="10"/>
        <v>109.91418942299546</v>
      </c>
      <c r="T65" s="12">
        <f>($R65+$A65)/COS($N65)</f>
        <v>118.85080599326277</v>
      </c>
      <c r="U65" s="12">
        <f t="shared" si="11"/>
        <v>-1.8042385317211734E-2</v>
      </c>
      <c r="V65" s="12">
        <f t="shared" si="12"/>
        <v>-4.2599522382371031E-2</v>
      </c>
      <c r="W65" s="12">
        <f t="shared" si="13"/>
        <v>118.84319971782712</v>
      </c>
      <c r="X65" s="12">
        <f>$I65*(C65^2)*$D65</f>
        <v>4.6262803364483525E-2</v>
      </c>
      <c r="Y65" s="5">
        <f>$W65*$D65</f>
        <v>9.0875225372558379</v>
      </c>
      <c r="Z65" s="5">
        <f>$Y65*C65</f>
        <v>28.549294042374612</v>
      </c>
      <c r="AA65" s="13">
        <f t="shared" si="14"/>
        <v>0.82087604537181524</v>
      </c>
      <c r="AB65" s="5">
        <f t="shared" si="15"/>
        <v>3.1892354846413413</v>
      </c>
    </row>
    <row r="66" spans="1:28" s="5" customFormat="1" ht="14" x14ac:dyDescent="0.15">
      <c r="A66" s="5">
        <v>110</v>
      </c>
      <c r="B66" s="5">
        <v>2700</v>
      </c>
      <c r="C66" s="5">
        <f t="shared" si="2"/>
        <v>3.1415926535897927</v>
      </c>
      <c r="D66" s="7">
        <v>0.11573027607607564</v>
      </c>
      <c r="E66" s="7">
        <v>0.52606237224191266</v>
      </c>
      <c r="F66" s="7">
        <v>7.8566602549843212E-2</v>
      </c>
      <c r="G66" s="7">
        <v>1.1772756179502185E-4</v>
      </c>
      <c r="H66" s="6">
        <v>0.73248215361822522</v>
      </c>
      <c r="I66" s="8">
        <f t="shared" si="3"/>
        <v>3.6786536716413062E-2</v>
      </c>
      <c r="J66" s="8">
        <f t="shared" si="4"/>
        <v>0.16721650917759298</v>
      </c>
      <c r="K66" s="8">
        <f t="shared" si="5"/>
        <v>0.20400304589400603</v>
      </c>
      <c r="L66" s="8">
        <f t="shared" si="6"/>
        <v>4.0800609178801212E-2</v>
      </c>
      <c r="M66" s="11">
        <f t="shared" si="7"/>
        <v>0.52108770865751841</v>
      </c>
      <c r="N66" s="11">
        <f>ATAN($M66+$F66-$D66*SIN($H66))</f>
        <v>0.48129934995041335</v>
      </c>
      <c r="O66" s="5">
        <f>($D66*$C66*COS($H66))+($D66*C66*($F66+$D66*COS($H66))*SIN($H66))/(SQRT($E66^2-($F66+$D66*COS($H66)^2)))</f>
        <v>0.37957912606103594</v>
      </c>
      <c r="P66" s="5">
        <f>(-$D66*$C66^2*SIN($H66))+(-$D66*$C66^2*($F66+$D66*COS($H66))*COS($H66)+$D66^2*C66^2*(SIN($H66))^2)/SQRT($E66^2-($F66+$D66*COS($H66))^2)+($D66^2*C66^2*($F66+$D66*COS($H66))^2*(SIN($H66))^2)/($E66^2-($F66+$D66*COS($H66))^2)^3/2</f>
        <v>-0.8738274946460034</v>
      </c>
      <c r="Q66" s="5">
        <f t="shared" si="8"/>
        <v>109.96434730590126</v>
      </c>
      <c r="R66" s="12">
        <f t="shared" si="9"/>
        <v>-3.5652694098742596E-2</v>
      </c>
      <c r="S66" s="12">
        <f t="shared" si="10"/>
        <v>109.92869461180251</v>
      </c>
      <c r="T66" s="12">
        <f>($R66+$A66)/COS($N66)</f>
        <v>124.05806817082274</v>
      </c>
      <c r="U66" s="12">
        <f t="shared" si="11"/>
        <v>-3.1241109154285313E-2</v>
      </c>
      <c r="V66" s="12">
        <f t="shared" si="12"/>
        <v>-2.8098176855228908E-2</v>
      </c>
      <c r="W66" s="12">
        <f t="shared" si="13"/>
        <v>116.23549400582888</v>
      </c>
      <c r="X66" s="12">
        <f>$I66*(C66^2)*$D66</f>
        <v>4.2018025224630572E-2</v>
      </c>
      <c r="Y66" s="5">
        <f>$W66*$D66</f>
        <v>13.451965811133611</v>
      </c>
      <c r="Z66" s="5">
        <f>$Y66*C66</f>
        <v>42.260596968598406</v>
      </c>
      <c r="AA66" s="13">
        <f t="shared" si="14"/>
        <v>0.74623186717861023</v>
      </c>
      <c r="AB66" s="5">
        <f t="shared" si="15"/>
        <v>2.8100025012619914</v>
      </c>
    </row>
    <row r="67" spans="1:28" s="5" customFormat="1" ht="14" x14ac:dyDescent="0.15">
      <c r="A67" s="5">
        <v>110</v>
      </c>
      <c r="B67" s="5">
        <v>2700</v>
      </c>
      <c r="C67" s="5">
        <f t="shared" ref="C67:C101" si="16">(2*PI()*30/60)</f>
        <v>3.1415926535897927</v>
      </c>
      <c r="D67" s="7">
        <v>0.11602317925054828</v>
      </c>
      <c r="E67" s="7">
        <v>0.40351772747186354</v>
      </c>
      <c r="F67" s="7">
        <v>0.10710570224322934</v>
      </c>
      <c r="G67" s="7">
        <v>2.8014555957657625E-4</v>
      </c>
      <c r="H67" s="6">
        <v>1.5248193853761298</v>
      </c>
      <c r="I67" s="8">
        <f t="shared" ref="I67:I101" si="17">$G67*$D67*$B67</f>
        <v>8.7759121882495295E-2</v>
      </c>
      <c r="J67" s="8">
        <f t="shared" ref="J67:J101" si="18">$E67*$G67*$B67</f>
        <v>0.30521798881651874</v>
      </c>
      <c r="K67" s="8">
        <f t="shared" ref="K67:K101" si="19">$I67+$J67</f>
        <v>0.39297711069901403</v>
      </c>
      <c r="L67" s="8">
        <f t="shared" ref="L67:L101" si="20">0.2*$K67</f>
        <v>7.8595422139802806E-2</v>
      </c>
      <c r="M67" s="11">
        <f t="shared" ref="M67:M101" si="21">$D67*SIN($H67)+SQRT($E67^2-($D67*COS($H67)-$F67^2))</f>
        <v>0.52695491825406293</v>
      </c>
      <c r="N67" s="11">
        <f>ATAN($M67+$F67-$D67*SIN($H67))</f>
        <v>0.47806987736820045</v>
      </c>
      <c r="O67" s="5">
        <f>($D67*$C67*COS($H67))+($D67*C67*($F67+$D67*COS($H67))*SIN($H67))/(SQRT($E67^2-($F67+$D67*COS($H67)^2)))</f>
        <v>0.19057177168684986</v>
      </c>
      <c r="P67" s="5">
        <f>(-$D67*$C67^2*SIN($H67))+(-$D67*$C67^2*($F67+$D67*COS($H67))*COS($H67)+$D67^2*C67^2*(SIN($H67))^2)/SQRT($E67^2-($F67+$D67*COS($H67))^2)+($D67^2*C67^2*($F67+$D67*COS($H67))^2*(SIN($H67))^2)/($E67^2-($F67+$D67*COS($H67))^2)^3/2</f>
        <v>-0.56966020512270255</v>
      </c>
      <c r="Q67" s="5">
        <f t="shared" ref="Q67:Q101" si="22">$T67*COS($N67)</f>
        <v>109.95522731570213</v>
      </c>
      <c r="R67" s="12">
        <f t="shared" ref="R67:R101" si="23">$L67*$P67</f>
        <v>-4.4772684297865462E-2</v>
      </c>
      <c r="S67" s="12">
        <f t="shared" ref="S67:S101" si="24">$Q67+$R67</f>
        <v>109.91045463140426</v>
      </c>
      <c r="T67" s="12">
        <f>($R67+$A67)/COS($N67)</f>
        <v>123.83955326067564</v>
      </c>
      <c r="U67" s="12">
        <f t="shared" si="11"/>
        <v>-4.6187433933275812E-3</v>
      </c>
      <c r="V67" s="12">
        <f t="shared" si="12"/>
        <v>-0.1003870267079312</v>
      </c>
      <c r="W67" s="12">
        <f t="shared" si="13"/>
        <v>112.45761789217872</v>
      </c>
      <c r="X67" s="12">
        <f>$I67*(C67^2)*$D67</f>
        <v>0.10049322326302555</v>
      </c>
      <c r="Y67" s="5">
        <f>$W67*$D67</f>
        <v>13.047690358793917</v>
      </c>
      <c r="Z67" s="5">
        <f>$Y67*C67</f>
        <v>40.990528177501332</v>
      </c>
      <c r="AA67" s="13">
        <f t="shared" ref="AA67:AA101" si="25">ASIN($F67/$D67)</f>
        <v>1.17617068647457</v>
      </c>
      <c r="AB67" s="5">
        <f t="shared" ref="AB67:AB101" si="26">(PI()+2*$AA67)/(PI()-2*$AA67)</f>
        <v>6.9609440761114545</v>
      </c>
    </row>
    <row r="68" spans="1:28" s="5" customFormat="1" ht="14" x14ac:dyDescent="0.15">
      <c r="A68" s="5">
        <v>110</v>
      </c>
      <c r="B68" s="5">
        <v>2700</v>
      </c>
      <c r="C68" s="5">
        <f t="shared" si="16"/>
        <v>3.1415926535897927</v>
      </c>
      <c r="D68" s="7">
        <v>9.1519329476551503E-2</v>
      </c>
      <c r="E68" s="7">
        <v>0.72761007685011792</v>
      </c>
      <c r="F68" s="7">
        <v>7.8360147348404185E-2</v>
      </c>
      <c r="G68" s="7">
        <v>1.6337903722483396E-4</v>
      </c>
      <c r="H68" s="6">
        <v>0.75447526258186748</v>
      </c>
      <c r="I68" s="8">
        <f t="shared" si="17"/>
        <v>4.0371317830821651E-2</v>
      </c>
      <c r="J68" s="8">
        <f t="shared" si="18"/>
        <v>0.32096583134332124</v>
      </c>
      <c r="K68" s="8">
        <f t="shared" si="19"/>
        <v>0.36133714917414289</v>
      </c>
      <c r="L68" s="8">
        <f t="shared" si="20"/>
        <v>7.2267429834828575E-2</v>
      </c>
      <c r="M68" s="11">
        <f t="shared" si="21"/>
        <v>0.74742513015041201</v>
      </c>
      <c r="N68" s="11">
        <f>ATAN($M68+$F68-$D68*SIN($H68))</f>
        <v>0.65183448657066334</v>
      </c>
      <c r="O68" s="5">
        <f>($D68*$C68*COS($H68))+($D68*C68*($F68+$D68*COS($H68))*SIN($H68))/(SQRT($E68^2-($F68+$D68*COS($H68)^2)))</f>
        <v>0.25451571916965404</v>
      </c>
      <c r="P68" s="5">
        <f>(-$D68*$C68^2*SIN($H68))+(-$D68*$C68^2*($F68+$D68*COS($H68))*COS($H68)+$D68^2*C68^2*(SIN($H68))^2)/SQRT($E68^2-($F68+$D68*COS($H68))^2)+($D68^2*C68^2*($F68+$D68*COS($H68))^2*(SIN($H68))^2)/($E68^2-($F68+$D68*COS($H68))^2)^3/2</f>
        <v>-0.69504012634218715</v>
      </c>
      <c r="Q68" s="5">
        <f t="shared" si="22"/>
        <v>109.94977123643717</v>
      </c>
      <c r="R68" s="12">
        <f t="shared" si="23"/>
        <v>-5.0228763562824401E-2</v>
      </c>
      <c r="S68" s="12">
        <f t="shared" si="24"/>
        <v>109.89954247287434</v>
      </c>
      <c r="T68" s="12">
        <f>($R68+$A68)/COS($N68)</f>
        <v>138.30642614408532</v>
      </c>
      <c r="U68" s="12">
        <f t="shared" ref="U68:U101" si="27">-($I68)*(C68^2)*$D68*COS($H68)</f>
        <v>-2.6570098798978859E-2</v>
      </c>
      <c r="V68" s="12">
        <f t="shared" ref="V68:V101" si="28">-($I68)*(C68^2)*$D68*SIN(H68)</f>
        <v>-2.4975646576097712E-2</v>
      </c>
      <c r="W68" s="12">
        <f t="shared" ref="W68:W101" si="29">$T68*SIN($H68+$N68)</f>
        <v>136.43964292317898</v>
      </c>
      <c r="X68" s="12">
        <f>$I68*(C68^2)*$D68</f>
        <v>3.6465779466256294E-2</v>
      </c>
      <c r="Y68" s="5">
        <f>$W68*$D68</f>
        <v>12.486864634349455</v>
      </c>
      <c r="Z68" s="5">
        <f>$Y68*C68</f>
        <v>39.228642201642444</v>
      </c>
      <c r="AA68" s="13">
        <f t="shared" si="25"/>
        <v>1.0278965094770895</v>
      </c>
      <c r="AB68" s="5">
        <f t="shared" si="26"/>
        <v>4.7866894653065293</v>
      </c>
    </row>
    <row r="69" spans="1:28" s="5" customFormat="1" ht="14" x14ac:dyDescent="0.15">
      <c r="A69" s="5">
        <v>110</v>
      </c>
      <c r="B69" s="5">
        <v>2700</v>
      </c>
      <c r="C69" s="5">
        <f t="shared" si="16"/>
        <v>3.1415926535897927</v>
      </c>
      <c r="D69" s="7">
        <v>0.16446297746001873</v>
      </c>
      <c r="E69" s="7">
        <v>0.75985272419777228</v>
      </c>
      <c r="F69" s="7">
        <v>6.3549351443331903E-2</v>
      </c>
      <c r="G69" s="7">
        <v>3.000076307889304E-4</v>
      </c>
      <c r="H69" s="6">
        <v>2.6621715973278146E-2</v>
      </c>
      <c r="I69" s="8">
        <f t="shared" si="17"/>
        <v>0.13321840019473841</v>
      </c>
      <c r="J69" s="8">
        <f t="shared" si="18"/>
        <v>0.61549636194473822</v>
      </c>
      <c r="K69" s="8">
        <f t="shared" si="19"/>
        <v>0.74871476213947663</v>
      </c>
      <c r="L69" s="8">
        <f t="shared" si="20"/>
        <v>0.14974295242789534</v>
      </c>
      <c r="M69" s="11">
        <f t="shared" si="21"/>
        <v>0.65014086881087574</v>
      </c>
      <c r="N69" s="11">
        <f>ATAN($M69+$F69-$D69*SIN($H69))</f>
        <v>0.61694862664376182</v>
      </c>
      <c r="O69" s="5">
        <f>($D69*$C69*COS($H69))+($D69*C69*($F69+$D69*COS($H69))*SIN($H69))/(SQRT($E69^2-($F69+$D69*COS($H69)^2)))</f>
        <v>0.52179581292854837</v>
      </c>
      <c r="P69" s="5">
        <f>(-$D69*$C69^2*SIN($H69))+(-$D69*$C69^2*($F69+$D69*COS($H69))*COS($H69)+$D69^2*C69^2*(SIN($H69))^2)/SQRT($E69^2-($F69+$D69*COS($H69))^2)+($D69^2*C69^2*($F69+$D69*COS($H69))^2*(SIN($H69))^2)/($E69^2-($F69+$D69*COS($H69))^2)^3/2</f>
        <v>-0.55319472455675034</v>
      </c>
      <c r="Q69" s="5">
        <f t="shared" si="22"/>
        <v>109.91716298867733</v>
      </c>
      <c r="R69" s="12">
        <f t="shared" si="23"/>
        <v>-8.2837011322664134E-2</v>
      </c>
      <c r="S69" s="12">
        <f t="shared" si="24"/>
        <v>109.83432597735467</v>
      </c>
      <c r="T69" s="12">
        <f>($R69+$A69)/COS($N69)</f>
        <v>134.76060037680614</v>
      </c>
      <c r="U69" s="12">
        <f t="shared" si="27"/>
        <v>-0.21616142466505819</v>
      </c>
      <c r="V69" s="12">
        <f t="shared" si="28"/>
        <v>-5.7559478930608336E-3</v>
      </c>
      <c r="W69" s="12">
        <f t="shared" si="29"/>
        <v>80.863824025616964</v>
      </c>
      <c r="X69" s="12">
        <f>$I69*(C69^2)*$D69</f>
        <v>0.21623804579531156</v>
      </c>
      <c r="Y69" s="5">
        <f>$W69*$D69</f>
        <v>13.299105268055964</v>
      </c>
      <c r="Z69" s="5">
        <f>$Y69*C69</f>
        <v>41.780371409441926</v>
      </c>
      <c r="AA69" s="13">
        <f t="shared" si="25"/>
        <v>0.39673088297106707</v>
      </c>
      <c r="AB69" s="5">
        <f t="shared" si="26"/>
        <v>1.6758241375011416</v>
      </c>
    </row>
    <row r="70" spans="1:28" s="5" customFormat="1" ht="14" x14ac:dyDescent="0.15">
      <c r="A70" s="5">
        <v>110</v>
      </c>
      <c r="B70" s="5">
        <v>2700</v>
      </c>
      <c r="C70" s="5">
        <f t="shared" si="16"/>
        <v>3.1415926535897927</v>
      </c>
      <c r="D70" s="7">
        <v>0.16692152087152501</v>
      </c>
      <c r="E70" s="7">
        <v>0.60893376980174529</v>
      </c>
      <c r="F70" s="7">
        <v>5.667918364177485E-2</v>
      </c>
      <c r="G70" s="7">
        <v>3.3149743234237239E-4</v>
      </c>
      <c r="H70" s="6">
        <v>1.1153584824197758</v>
      </c>
      <c r="I70" s="8">
        <f t="shared" si="17"/>
        <v>0.1494019500433045</v>
      </c>
      <c r="J70" s="8">
        <f t="shared" si="18"/>
        <v>0.54502194912076751</v>
      </c>
      <c r="K70" s="8">
        <f t="shared" si="19"/>
        <v>0.69442389916407199</v>
      </c>
      <c r="L70" s="8">
        <f t="shared" si="20"/>
        <v>0.13888477983281441</v>
      </c>
      <c r="M70" s="11">
        <f t="shared" si="21"/>
        <v>0.69816922363819955</v>
      </c>
      <c r="N70" s="11">
        <f>ATAN($M70+$F70-$D70*SIN($H70))</f>
        <v>0.54404499462467248</v>
      </c>
      <c r="O70" s="5">
        <f>($D70*$C70*COS($H70))+($D70*C70*($F70+$D70*COS($H70))*SIN($H70))/(SQRT($E70^2-($F70+$D70*COS($H70)^2)))</f>
        <v>0.34607440580392812</v>
      </c>
      <c r="P70" s="5">
        <f>(-$D70*$C70^2*SIN($H70))+(-$D70*$C70^2*($F70+$D70*COS($H70))*COS($H70)+$D70^2*C70^2*(SIN($H70))^2)/SQRT($E70^2-($F70+$D70*COS($H70))^2)+($D70^2*C70^2*($F70+$D70*COS($H70))^2*(SIN($H70))^2)/($E70^2-($F70+$D70*COS($H70))^2)^3/2</f>
        <v>-1.2228093975822327</v>
      </c>
      <c r="Q70" s="5">
        <f t="shared" si="22"/>
        <v>109.8301703860393</v>
      </c>
      <c r="R70" s="12">
        <f t="shared" si="23"/>
        <v>-0.16982961396070481</v>
      </c>
      <c r="S70" s="12">
        <f t="shared" si="24"/>
        <v>109.6603407720786</v>
      </c>
      <c r="T70" s="12">
        <f>($R70+$A70)/COS($N70)</f>
        <v>128.36295853576854</v>
      </c>
      <c r="U70" s="12">
        <f t="shared" si="27"/>
        <v>-0.10826259697617721</v>
      </c>
      <c r="V70" s="12">
        <f t="shared" si="28"/>
        <v>-0.22104353672122606</v>
      </c>
      <c r="W70" s="12">
        <f t="shared" si="29"/>
        <v>127.85938477004859</v>
      </c>
      <c r="X70" s="12">
        <f>$I70*(C70^2)*$D70</f>
        <v>0.24613214952592885</v>
      </c>
      <c r="Y70" s="5">
        <f>$W70*$D70</f>
        <v>21.342482963514012</v>
      </c>
      <c r="Z70" s="5">
        <f>$Y70*C70</f>
        <v>67.049387687540928</v>
      </c>
      <c r="AA70" s="13">
        <f t="shared" si="25"/>
        <v>0.34644468176027116</v>
      </c>
      <c r="AB70" s="5">
        <f t="shared" si="26"/>
        <v>1.5659234961871977</v>
      </c>
    </row>
    <row r="71" spans="1:28" s="5" customFormat="1" ht="14" x14ac:dyDescent="0.15">
      <c r="A71" s="5">
        <v>110</v>
      </c>
      <c r="B71" s="5">
        <v>2700</v>
      </c>
      <c r="C71" s="5">
        <f t="shared" si="16"/>
        <v>3.1415926535897927</v>
      </c>
      <c r="D71" s="7">
        <v>0.11697453894729296</v>
      </c>
      <c r="E71" s="7">
        <v>0.49573444892191643</v>
      </c>
      <c r="F71" s="7">
        <v>6.3387189418037587E-2</v>
      </c>
      <c r="G71" s="7">
        <v>1.4358624378645675E-4</v>
      </c>
      <c r="H71" s="6">
        <v>1.2496708992377898</v>
      </c>
      <c r="I71" s="8">
        <f t="shared" si="17"/>
        <v>4.5349023598454843E-2</v>
      </c>
      <c r="J71" s="8">
        <f t="shared" si="18"/>
        <v>0.19218774807786715</v>
      </c>
      <c r="K71" s="8">
        <f t="shared" si="19"/>
        <v>0.23753677167632198</v>
      </c>
      <c r="L71" s="8">
        <f t="shared" si="20"/>
        <v>4.7507354335264401E-2</v>
      </c>
      <c r="M71" s="11">
        <f t="shared" si="21"/>
        <v>0.57235089616108747</v>
      </c>
      <c r="N71" s="11">
        <f>ATAN($M71+$F71-$D71*SIN($H71))</f>
        <v>0.48324566097726412</v>
      </c>
      <c r="O71" s="5">
        <f>($D71*$C71*COS($H71))+($D71*C71*($F71+$D71*COS($H71))*SIN($H71))/(SQRT($E71^2-($F71+$D71*COS($H71)^2)))</f>
        <v>0.20064755444486149</v>
      </c>
      <c r="P71" s="5">
        <f>(-$D71*$C71^2*SIN($H71))+(-$D71*$C71^2*($F71+$D71*COS($H71))*COS($H71)+$D71^2*C71^2*(SIN($H71))^2)/SQRT($E71^2-($F71+$D71*COS($H71))^2)+($D71^2*C71^2*($F71+$D71*COS($H71))^2*(SIN($H71))^2)/($E71^2-($F71+$D71*COS($H71))^2)^3/2</f>
        <v>-0.87358669190786031</v>
      </c>
      <c r="Q71" s="5">
        <f t="shared" si="22"/>
        <v>109.95849820748496</v>
      </c>
      <c r="R71" s="12">
        <f t="shared" si="23"/>
        <v>-4.1501792515038174E-2</v>
      </c>
      <c r="S71" s="12">
        <f t="shared" si="24"/>
        <v>109.91699641496993</v>
      </c>
      <c r="T71" s="12">
        <f>($R71+$A71)/COS($N71)</f>
        <v>124.1779298095589</v>
      </c>
      <c r="U71" s="12">
        <f t="shared" si="27"/>
        <v>-1.6525085349456604E-2</v>
      </c>
      <c r="V71" s="12">
        <f t="shared" si="28"/>
        <v>-4.9678752901609328E-2</v>
      </c>
      <c r="W71" s="12">
        <f t="shared" si="29"/>
        <v>122.54961849887434</v>
      </c>
      <c r="X71" s="12">
        <f>$I71*(C71^2)*$D71</f>
        <v>5.2355104198788326E-2</v>
      </c>
      <c r="Y71" s="5">
        <f>$W71*$D71</f>
        <v>14.335185122072469</v>
      </c>
      <c r="Z71" s="5">
        <f>$Y71*C71</f>
        <v>45.035312267352566</v>
      </c>
      <c r="AA71" s="13">
        <f t="shared" si="25"/>
        <v>0.57268282060917963</v>
      </c>
      <c r="AB71" s="5">
        <f t="shared" si="26"/>
        <v>2.1475304503145791</v>
      </c>
    </row>
    <row r="72" spans="1:28" s="5" customFormat="1" ht="14" x14ac:dyDescent="0.15">
      <c r="A72" s="5">
        <v>110</v>
      </c>
      <c r="B72" s="5">
        <v>2700</v>
      </c>
      <c r="C72" s="5">
        <f t="shared" si="16"/>
        <v>3.1415926535897927</v>
      </c>
      <c r="D72" s="7">
        <v>9.3846446099189046E-2</v>
      </c>
      <c r="E72" s="7">
        <v>0.3185294943223379</v>
      </c>
      <c r="F72" s="7">
        <v>5.6951359557653861E-2</v>
      </c>
      <c r="G72" s="7">
        <v>4.930172916553598E-4</v>
      </c>
      <c r="H72" s="6">
        <v>1.2040465282412558</v>
      </c>
      <c r="I72" s="8">
        <f t="shared" si="17"/>
        <v>0.1249233858557178</v>
      </c>
      <c r="J72" s="8">
        <f t="shared" si="18"/>
        <v>0.42400948122850596</v>
      </c>
      <c r="K72" s="8">
        <f t="shared" si="19"/>
        <v>0.54893286708422373</v>
      </c>
      <c r="L72" s="8">
        <f t="shared" si="20"/>
        <v>0.10978657341684475</v>
      </c>
      <c r="M72" s="11">
        <f t="shared" si="21"/>
        <v>0.35416262526134923</v>
      </c>
      <c r="N72" s="11">
        <f>ATAN($M72+$F72-$D72*SIN($H72))</f>
        <v>0.31288233302071283</v>
      </c>
      <c r="O72" s="5">
        <f>($D72*$C72*COS($H72))+($D72*C72*($F72+$D72*COS($H72))*SIN($H72))/(SQRT($E72^2-($F72+$D72*COS($H72)^2)))</f>
        <v>0.24416139834616157</v>
      </c>
      <c r="P72" s="5">
        <f>(-$D72*$C72^2*SIN($H72))+(-$D72*$C72^2*($F72+$D72*COS($H72))*COS($H72)+$D72^2*C72^2*(SIN($H72))^2)/SQRT($E72^2-($F72+$D72*COS($H72))^2)+($D72^2*C72^2*($F72+$D72*COS($H72))^2*(SIN($H72))^2)/($E72^2-($F72+$D72*COS($H72))^2)^3/2</f>
        <v>-0.33173556534416471</v>
      </c>
      <c r="Q72" s="5">
        <f t="shared" si="22"/>
        <v>109.96357988900037</v>
      </c>
      <c r="R72" s="12">
        <f t="shared" si="23"/>
        <v>-3.6420110999635637E-2</v>
      </c>
      <c r="S72" s="12">
        <f t="shared" si="24"/>
        <v>109.92715977800074</v>
      </c>
      <c r="T72" s="12">
        <f>($R72+$A72)/COS($N72)</f>
        <v>115.57469253986358</v>
      </c>
      <c r="U72" s="12">
        <f t="shared" si="27"/>
        <v>-4.1490756456678719E-2</v>
      </c>
      <c r="V72" s="12">
        <f t="shared" si="28"/>
        <v>-0.10801264338096413</v>
      </c>
      <c r="W72" s="12">
        <f t="shared" si="29"/>
        <v>115.40705131809887</v>
      </c>
      <c r="X72" s="12">
        <f>$I72*(C72^2)*$D72</f>
        <v>0.11570745006908915</v>
      </c>
      <c r="Y72" s="5">
        <f>$W72*$D72</f>
        <v>10.83054162099031</v>
      </c>
      <c r="Z72" s="5">
        <f>$Y72*C72</f>
        <v>34.025149990901646</v>
      </c>
      <c r="AA72" s="13">
        <f t="shared" si="25"/>
        <v>0.65210001695960518</v>
      </c>
      <c r="AB72" s="5">
        <f t="shared" si="26"/>
        <v>2.4196204120521982</v>
      </c>
    </row>
    <row r="73" spans="1:28" s="5" customFormat="1" ht="14" x14ac:dyDescent="0.15">
      <c r="A73" s="5">
        <v>110</v>
      </c>
      <c r="B73" s="5">
        <v>2700</v>
      </c>
      <c r="C73" s="5">
        <f t="shared" si="16"/>
        <v>3.1415926535897927</v>
      </c>
      <c r="D73" s="7">
        <v>0.17882998331002614</v>
      </c>
      <c r="E73" s="7">
        <v>0.66241625482187949</v>
      </c>
      <c r="F73" s="7">
        <v>0.14605605284836071</v>
      </c>
      <c r="G73" s="7">
        <v>2.7857454439418963E-4</v>
      </c>
      <c r="H73" s="6">
        <v>1.3215965073441216</v>
      </c>
      <c r="I73" s="8">
        <f t="shared" si="17"/>
        <v>0.13450719903644986</v>
      </c>
      <c r="J73" s="8">
        <f t="shared" si="18"/>
        <v>0.49823722724303837</v>
      </c>
      <c r="K73" s="8">
        <f t="shared" si="19"/>
        <v>0.63274442627948824</v>
      </c>
      <c r="L73" s="8">
        <f t="shared" si="20"/>
        <v>0.12654888525589766</v>
      </c>
      <c r="M73" s="11">
        <f t="shared" si="21"/>
        <v>0.81830445189142631</v>
      </c>
      <c r="N73" s="11">
        <f>ATAN($M73+$F73-$D73*SIN($H73))</f>
        <v>0.66926255789213751</v>
      </c>
      <c r="O73" s="5">
        <f>($D73*$C73*COS($H73))+($D73*C73*($F73+$D73*COS($H73))*SIN($H73))/(SQRT($E73^2-($F73+$D73*COS($H73)^2)))</f>
        <v>0.33357265879905917</v>
      </c>
      <c r="P73" s="5">
        <f>(-$D73*$C73^2*SIN($H73))+(-$D73*$C73^2*($F73+$D73*COS($H73))*COS($H73)+$D73^2*C73^2*(SIN($H73))^2)/SQRT($E73^2-($F73+$D73*COS($H73))^2)+($D73^2*C73^2*($F73+$D73*COS($H73))^2*(SIN($H73))^2)/($E73^2-($F73+$D73*COS($H73))^2)^3/2</f>
        <v>-1.2916345470419739</v>
      </c>
      <c r="Q73" s="5">
        <f t="shared" si="22"/>
        <v>109.83654508791383</v>
      </c>
      <c r="R73" s="12">
        <f t="shared" si="23"/>
        <v>-0.16345491208616811</v>
      </c>
      <c r="S73" s="12">
        <f t="shared" si="24"/>
        <v>109.67309017582767</v>
      </c>
      <c r="T73" s="12">
        <f>($R73+$A73)/COS($N73)</f>
        <v>140.04772526048998</v>
      </c>
      <c r="U73" s="12">
        <f t="shared" si="27"/>
        <v>-5.8550283809155092E-2</v>
      </c>
      <c r="V73" s="12">
        <f t="shared" si="28"/>
        <v>-0.23006932642667677</v>
      </c>
      <c r="W73" s="12">
        <f t="shared" si="29"/>
        <v>127.87244606292705</v>
      </c>
      <c r="X73" s="12">
        <f>$I73*(C73^2)*$D73</f>
        <v>0.23740267626241571</v>
      </c>
      <c r="Y73" s="5">
        <f>$W73*$D73</f>
        <v>22.867427395245464</v>
      </c>
      <c r="Z73" s="5">
        <f>$Y73*C73</f>
        <v>71.840141911401119</v>
      </c>
      <c r="AA73" s="13">
        <f t="shared" si="25"/>
        <v>0.95572335893469629</v>
      </c>
      <c r="AB73" s="5">
        <f t="shared" si="26"/>
        <v>4.1076747276330385</v>
      </c>
    </row>
    <row r="74" spans="1:28" s="5" customFormat="1" ht="14" x14ac:dyDescent="0.15">
      <c r="A74" s="5">
        <v>110</v>
      </c>
      <c r="B74" s="5">
        <v>2700</v>
      </c>
      <c r="C74" s="5">
        <f t="shared" si="16"/>
        <v>3.1415926535897927</v>
      </c>
      <c r="D74" s="7">
        <v>0.1912449192687275</v>
      </c>
      <c r="E74" s="7">
        <v>0.31051943548547145</v>
      </c>
      <c r="F74" s="7">
        <v>8.2267367656387438E-2</v>
      </c>
      <c r="G74" s="7">
        <v>3.8940671028997329E-4</v>
      </c>
      <c r="H74" s="6">
        <v>1.7362243814365688</v>
      </c>
      <c r="I74" s="8">
        <f t="shared" si="17"/>
        <v>0.20107454815468809</v>
      </c>
      <c r="J74" s="8">
        <f t="shared" si="18"/>
        <v>0.32647955000444201</v>
      </c>
      <c r="K74" s="8">
        <f t="shared" si="19"/>
        <v>0.52755409815913012</v>
      </c>
      <c r="L74" s="8">
        <f t="shared" si="20"/>
        <v>0.10551081963182603</v>
      </c>
      <c r="M74" s="11">
        <f t="shared" si="21"/>
        <v>0.55562642196697554</v>
      </c>
      <c r="N74" s="11">
        <f>ATAN($M74+$F74-$D74*SIN($H74))</f>
        <v>0.42223816678492415</v>
      </c>
      <c r="O74" s="5">
        <f>($D74*$C74*COS($H74))+($D74*C74*($F74+$D74*COS($H74))*SIN($H74))/(SQRT($E74^2-($F74+$D74*COS($H74)^2)))</f>
        <v>0.21878170300263974</v>
      </c>
      <c r="P74" s="5">
        <f>(-$D74*$C74^2*SIN($H74))+(-$D74*$C74^2*($F74+$D74*COS($H74))*COS($H74)+$D74^2*C74^2*(SIN($H74))^2)/SQRT($E74^2-($F74+$D74*COS($H74))^2)+($D74^2*C74^2*($F74+$D74*COS($H74))^2*(SIN($H74))^2)/($E74^2-($F74+$D74*COS($H74))^2)^3/2</f>
        <v>-0.11608925539517401</v>
      </c>
      <c r="Q74" s="5">
        <f t="shared" si="22"/>
        <v>109.98775132751281</v>
      </c>
      <c r="R74" s="12">
        <f t="shared" si="23"/>
        <v>-1.2248672487193191E-2</v>
      </c>
      <c r="S74" s="12">
        <f t="shared" si="24"/>
        <v>109.97550265502562</v>
      </c>
      <c r="T74" s="12">
        <f>($R74+$A74)/COS($N74)</f>
        <v>120.57759718804887</v>
      </c>
      <c r="U74" s="12">
        <f t="shared" si="27"/>
        <v>6.2499027054378792E-2</v>
      </c>
      <c r="V74" s="12">
        <f t="shared" si="28"/>
        <v>-0.37434919366658176</v>
      </c>
      <c r="W74" s="12">
        <f t="shared" si="29"/>
        <v>100.34911827630594</v>
      </c>
      <c r="X74" s="12">
        <f>$I74*(C74^2)*$D74</f>
        <v>0.37953056159097898</v>
      </c>
      <c r="Y74" s="5">
        <f>$W74*$D74</f>
        <v>19.191259023440118</v>
      </c>
      <c r="Z74" s="5">
        <f>$Y74*C74</f>
        <v>60.291118361178292</v>
      </c>
      <c r="AA74" s="13">
        <f t="shared" si="25"/>
        <v>0.44467842225728571</v>
      </c>
      <c r="AB74" s="5">
        <f t="shared" si="26"/>
        <v>1.7897546437464249</v>
      </c>
    </row>
    <row r="75" spans="1:28" s="5" customFormat="1" ht="14" x14ac:dyDescent="0.15">
      <c r="A75" s="5">
        <v>110</v>
      </c>
      <c r="B75" s="5">
        <v>2700</v>
      </c>
      <c r="C75" s="5">
        <f t="shared" si="16"/>
        <v>3.1415926535897927</v>
      </c>
      <c r="D75" s="7">
        <v>0.10217889197109109</v>
      </c>
      <c r="E75" s="7">
        <v>0.68927908514068037</v>
      </c>
      <c r="F75" s="7">
        <v>8.2565036734027958E-2</v>
      </c>
      <c r="G75" s="7">
        <v>3.4333006039858667E-4</v>
      </c>
      <c r="H75" s="6">
        <v>2.0255615098107822</v>
      </c>
      <c r="I75" s="8">
        <f t="shared" si="17"/>
        <v>9.4718929910117489E-2</v>
      </c>
      <c r="J75" s="8">
        <f t="shared" si="18"/>
        <v>0.63895562081864732</v>
      </c>
      <c r="K75" s="8">
        <f t="shared" si="19"/>
        <v>0.73367455072876475</v>
      </c>
      <c r="L75" s="8">
        <f t="shared" si="20"/>
        <v>0.14673491014575296</v>
      </c>
      <c r="M75" s="11">
        <f t="shared" si="21"/>
        <v>0.81760709951534039</v>
      </c>
      <c r="N75" s="11">
        <f>ATAN($M75+$F75-$D75*SIN($H75))</f>
        <v>0.67982881033198372</v>
      </c>
      <c r="O75" s="5">
        <f>($D75*$C75*COS($H75))+($D75*C75*($F75+$D75*COS($H75))*SIN($H75))/(SQRT($E75^2-($F75+$D75*COS($H75)^2)))</f>
        <v>-0.12320436406192692</v>
      </c>
      <c r="P75" s="5">
        <f>(-$D75*$C75^2*SIN($H75))+(-$D75*$C75^2*($F75+$D75*COS($H75))*COS($H75)+$D75^2*C75^2*(SIN($H75))^2)/SQRT($E75^2-($F75+$D75*COS($H75))^2)+($D75^2*C75^2*($F75+$D75*COS($H75))^2*(SIN($H75))^2)/($E75^2-($F75+$D75*COS($H75))^2)^3/2</f>
        <v>-0.76032817239274153</v>
      </c>
      <c r="Q75" s="5">
        <f t="shared" si="22"/>
        <v>109.88843331394267</v>
      </c>
      <c r="R75" s="12">
        <f t="shared" si="23"/>
        <v>-0.1115666860573335</v>
      </c>
      <c r="S75" s="12">
        <f t="shared" si="24"/>
        <v>109.77686662788534</v>
      </c>
      <c r="T75" s="12">
        <f>($R75+$A75)/COS($N75)</f>
        <v>141.30282870340065</v>
      </c>
      <c r="U75" s="12">
        <f t="shared" si="27"/>
        <v>4.1957620123532116E-2</v>
      </c>
      <c r="V75" s="12">
        <f t="shared" si="28"/>
        <v>-8.5812420544988222E-2</v>
      </c>
      <c r="W75" s="12">
        <f t="shared" si="29"/>
        <v>59.700509658959341</v>
      </c>
      <c r="X75" s="12">
        <f>$I75*(C75^2)*$D75</f>
        <v>9.5520748563966681E-2</v>
      </c>
      <c r="Y75" s="5">
        <f>$W75*$D75</f>
        <v>6.100131927061887</v>
      </c>
      <c r="Z75" s="5">
        <f>$Y75*C75</f>
        <v>19.164129647986169</v>
      </c>
      <c r="AA75" s="13">
        <f t="shared" si="25"/>
        <v>0.94082425596701658</v>
      </c>
      <c r="AB75" s="5">
        <f t="shared" si="26"/>
        <v>3.9868760839845776</v>
      </c>
    </row>
    <row r="76" spans="1:28" s="5" customFormat="1" ht="14" x14ac:dyDescent="0.15">
      <c r="A76" s="5">
        <v>110</v>
      </c>
      <c r="B76" s="5">
        <v>2700</v>
      </c>
      <c r="C76" s="5">
        <f t="shared" si="16"/>
        <v>3.1415926535897927</v>
      </c>
      <c r="D76" s="7">
        <v>0.13405990012911995</v>
      </c>
      <c r="E76" s="7">
        <v>0.55838564519695921</v>
      </c>
      <c r="F76" s="7">
        <v>0.13092489983432126</v>
      </c>
      <c r="G76" s="7">
        <v>1.9816868344781638E-4</v>
      </c>
      <c r="H76" s="6">
        <v>0.95347955968842923</v>
      </c>
      <c r="I76" s="8">
        <f t="shared" si="17"/>
        <v>7.1729479561680312E-2</v>
      </c>
      <c r="J76" s="8">
        <f t="shared" si="18"/>
        <v>0.29876728004507053</v>
      </c>
      <c r="K76" s="8">
        <f t="shared" si="19"/>
        <v>0.37049675960675083</v>
      </c>
      <c r="L76" s="8">
        <f t="shared" si="20"/>
        <v>7.4099351921350171E-2</v>
      </c>
      <c r="M76" s="11">
        <f t="shared" si="21"/>
        <v>0.61065068556656654</v>
      </c>
      <c r="N76" s="11">
        <f>ATAN($M76+$F76-$D76*SIN($H76))</f>
        <v>0.56380189692960891</v>
      </c>
      <c r="O76" s="5">
        <f>($D76*$C76*COS($H76))+($D76*C76*($F76+$D76*COS($H76))*SIN($H76))/(SQRT($E76^2-($F76+$D76*COS($H76)^2)))</f>
        <v>0.43801452530093188</v>
      </c>
      <c r="P76" s="5">
        <f>(-$D76*$C76^2*SIN($H76))+(-$D76*$C76^2*($F76+$D76*COS($H76))*COS($H76)+$D76^2*C76^2*(SIN($H76))^2)/SQRT($E76^2-($F76+$D76*COS($H76))^2)+($D76^2*C76^2*($F76+$D76*COS($H76))^2*(SIN($H76))^2)/($E76^2-($F76+$D76*COS($H76))^2)^3/2</f>
        <v>-1.0267879606180106</v>
      </c>
      <c r="Q76" s="5">
        <f t="shared" si="22"/>
        <v>109.92391567755756</v>
      </c>
      <c r="R76" s="12">
        <f t="shared" si="23"/>
        <v>-7.60843224424394E-2</v>
      </c>
      <c r="S76" s="12">
        <f t="shared" si="24"/>
        <v>109.84783135511512</v>
      </c>
      <c r="T76" s="12">
        <f>($R76+$A76)/COS($N76)</f>
        <v>130.05215579212165</v>
      </c>
      <c r="U76" s="12">
        <f t="shared" si="27"/>
        <v>-5.493660139556733E-2</v>
      </c>
      <c r="V76" s="12">
        <f t="shared" si="28"/>
        <v>-7.7390105728063902E-2</v>
      </c>
      <c r="W76" s="12">
        <f t="shared" si="29"/>
        <v>129.86597586155688</v>
      </c>
      <c r="X76" s="12">
        <f>$I76*(C76^2)*$D76</f>
        <v>9.4906578473235248E-2</v>
      </c>
      <c r="Y76" s="5">
        <f>$W76*$D76</f>
        <v>17.409819754171018</v>
      </c>
      <c r="Z76" s="5">
        <f>$Y76*C76</f>
        <v>54.694561840026118</v>
      </c>
      <c r="AA76" s="13">
        <f t="shared" si="25"/>
        <v>1.3541085912738953</v>
      </c>
      <c r="AB76" s="5">
        <f t="shared" si="26"/>
        <v>13.498248578934044</v>
      </c>
    </row>
    <row r="77" spans="1:28" s="5" customFormat="1" ht="14" x14ac:dyDescent="0.15">
      <c r="A77" s="5">
        <v>110</v>
      </c>
      <c r="B77" s="5">
        <v>2700</v>
      </c>
      <c r="C77" s="5">
        <f t="shared" si="16"/>
        <v>3.1415926535897927</v>
      </c>
      <c r="D77" s="7">
        <v>0.11805114619666361</v>
      </c>
      <c r="E77" s="7">
        <v>0.64266531198559196</v>
      </c>
      <c r="F77" s="7">
        <v>9.5862633889109261E-2</v>
      </c>
      <c r="G77" s="7">
        <v>4.988381776998887E-4</v>
      </c>
      <c r="H77" s="6">
        <v>0.79885586241703133</v>
      </c>
      <c r="I77" s="8">
        <f t="shared" si="17"/>
        <v>0.15899873033914241</v>
      </c>
      <c r="J77" s="8">
        <f t="shared" si="18"/>
        <v>0.86558218137492249</v>
      </c>
      <c r="K77" s="8">
        <f t="shared" si="19"/>
        <v>1.024580911714065</v>
      </c>
      <c r="L77" s="8">
        <f t="shared" si="20"/>
        <v>0.204916182342813</v>
      </c>
      <c r="M77" s="11">
        <f t="shared" si="21"/>
        <v>0.66756952627652111</v>
      </c>
      <c r="N77" s="11">
        <f>ATAN($M77+$F77-$D77*SIN($H77))</f>
        <v>0.59638411479124775</v>
      </c>
      <c r="O77" s="5">
        <f>($D77*$C77*COS($H77))+($D77*C77*($F77+$D77*COS($H77))*SIN($H77))/(SQRT($E77^2-($F77+$D77*COS($H77)^2)))</f>
        <v>0.35161819130972166</v>
      </c>
      <c r="P77" s="5">
        <f>(-$D77*$C77^2*SIN($H77))+(-$D77*$C77^2*($F77+$D77*COS($H77))*COS($H77)+$D77^2*C77^2*(SIN($H77))^2)/SQRT($E77^2-($F77+$D77*COS($H77))^2)+($D77^2*C77^2*($F77+$D77*COS($H77))^2*(SIN($H77))^2)/($E77^2-($F77+$D77*COS($H77))^2)^3/2</f>
        <v>-0.93481969014639399</v>
      </c>
      <c r="Q77" s="5">
        <f t="shared" si="22"/>
        <v>109.80844031791631</v>
      </c>
      <c r="R77" s="12">
        <f t="shared" si="23"/>
        <v>-0.19155968208369042</v>
      </c>
      <c r="S77" s="12">
        <f t="shared" si="24"/>
        <v>109.61688063583262</v>
      </c>
      <c r="T77" s="12">
        <f>($R77+$A77)/COS($N77)</f>
        <v>132.71956742630215</v>
      </c>
      <c r="U77" s="12">
        <f t="shared" si="27"/>
        <v>-0.12921848275678818</v>
      </c>
      <c r="V77" s="12">
        <f t="shared" si="28"/>
        <v>-0.13274410931959121</v>
      </c>
      <c r="W77" s="12">
        <f t="shared" si="29"/>
        <v>130.67960417141862</v>
      </c>
      <c r="X77" s="12">
        <f>$I77*(C77^2)*$D77</f>
        <v>0.18525230051207986</v>
      </c>
      <c r="Y77" s="5">
        <f>$W77*$D77</f>
        <v>15.426877056962271</v>
      </c>
      <c r="Z77" s="5">
        <f>$Y77*C77</f>
        <v>48.46496362998559</v>
      </c>
      <c r="AA77" s="13">
        <f t="shared" si="25"/>
        <v>0.94764472885338458</v>
      </c>
      <c r="AB77" s="5">
        <f t="shared" si="26"/>
        <v>4.0414580721088962</v>
      </c>
    </row>
    <row r="78" spans="1:28" s="5" customFormat="1" ht="14" x14ac:dyDescent="0.15">
      <c r="A78" s="5">
        <v>110</v>
      </c>
      <c r="B78" s="5">
        <v>2700</v>
      </c>
      <c r="C78" s="5">
        <f t="shared" si="16"/>
        <v>3.1415926535897927</v>
      </c>
      <c r="D78" s="7">
        <v>0.18470328868220587</v>
      </c>
      <c r="E78" s="7">
        <v>0.62829292474529852</v>
      </c>
      <c r="F78" s="7">
        <v>5.8139861294632555E-2</v>
      </c>
      <c r="G78" s="7">
        <v>3.0992000515254293E-4</v>
      </c>
      <c r="H78" s="6">
        <v>0.37614737481168198</v>
      </c>
      <c r="I78" s="8">
        <f t="shared" si="17"/>
        <v>0.15455675928621834</v>
      </c>
      <c r="J78" s="8">
        <f t="shared" si="18"/>
        <v>0.52574547548079675</v>
      </c>
      <c r="K78" s="8">
        <f t="shared" si="19"/>
        <v>0.68030223476701512</v>
      </c>
      <c r="L78" s="8">
        <f t="shared" si="20"/>
        <v>0.13606044695340302</v>
      </c>
      <c r="M78" s="11">
        <f t="shared" si="21"/>
        <v>0.54360319909997434</v>
      </c>
      <c r="N78" s="11">
        <f>ATAN($M78+$F78-$D78*SIN($H78))</f>
        <v>0.49039386015627379</v>
      </c>
      <c r="O78" s="5">
        <f>($D78*$C78*COS($H78))+($D78*C78*($F78+$D78*COS($H78))*SIN($H78))/(SQRT($E78^2-($F78+$D78*COS($H78)^2)))</f>
        <v>0.65624309480026377</v>
      </c>
      <c r="P78" s="5">
        <f>(-$D78*$C78^2*SIN($H78))+(-$D78*$C78^2*($F78+$D78*COS($H78))*COS($H78)+$D78^2*C78^2*(SIN($H78))^2)/SQRT($E78^2-($F78+$D78*COS($H78))^2)+($D78^2*C78^2*($F78+$D78*COS($H78))^2*(SIN($H78))^2)/($E78^2-($F78+$D78*COS($H78))^2)^3/2</f>
        <v>-1.2286187307485752</v>
      </c>
      <c r="Q78" s="5">
        <f t="shared" si="22"/>
        <v>109.83283358635903</v>
      </c>
      <c r="R78" s="12">
        <f t="shared" si="23"/>
        <v>-0.16716641364097387</v>
      </c>
      <c r="S78" s="12">
        <f t="shared" si="24"/>
        <v>109.66566717271806</v>
      </c>
      <c r="T78" s="12">
        <f>($R78+$A78)/COS($N78)</f>
        <v>124.50621055707852</v>
      </c>
      <c r="U78" s="12">
        <f t="shared" si="27"/>
        <v>-0.26205100982214174</v>
      </c>
      <c r="V78" s="12">
        <f t="shared" si="28"/>
        <v>-0.1034976559881072</v>
      </c>
      <c r="W78" s="12">
        <f t="shared" si="29"/>
        <v>94.885444259247578</v>
      </c>
      <c r="X78" s="12">
        <f>$I78*(C78^2)*$D78</f>
        <v>0.28174899563944644</v>
      </c>
      <c r="Y78" s="5">
        <f>$W78*$D78</f>
        <v>17.52565360275516</v>
      </c>
      <c r="Z78" s="5">
        <f>$Y78*C78</f>
        <v>55.058464607775093</v>
      </c>
      <c r="AA78" s="13">
        <f t="shared" si="25"/>
        <v>0.32021893064530232</v>
      </c>
      <c r="AB78" s="5">
        <f t="shared" si="26"/>
        <v>1.5121137350334735</v>
      </c>
    </row>
    <row r="79" spans="1:28" s="5" customFormat="1" ht="14" x14ac:dyDescent="0.15">
      <c r="A79" s="5">
        <v>110</v>
      </c>
      <c r="B79" s="5">
        <v>2700</v>
      </c>
      <c r="C79" s="5">
        <f t="shared" si="16"/>
        <v>3.1415926535897927</v>
      </c>
      <c r="D79" s="7">
        <v>9.7167438671894008E-2</v>
      </c>
      <c r="E79" s="7">
        <v>0.79418549668080252</v>
      </c>
      <c r="F79" s="7">
        <v>5.4825814830803482E-2</v>
      </c>
      <c r="G79" s="7">
        <v>2.0023449004011377E-4</v>
      </c>
      <c r="H79" s="6">
        <v>1.9048603754634013</v>
      </c>
      <c r="I79" s="8">
        <f t="shared" si="17"/>
        <v>5.2531935833620959E-2</v>
      </c>
      <c r="J79" s="8">
        <f t="shared" si="18"/>
        <v>0.42936298539786438</v>
      </c>
      <c r="K79" s="8">
        <f t="shared" si="19"/>
        <v>0.48189492123148536</v>
      </c>
      <c r="L79" s="8">
        <f t="shared" si="20"/>
        <v>9.6378984246297081E-2</v>
      </c>
      <c r="M79" s="11">
        <f t="shared" si="21"/>
        <v>0.907636601190554</v>
      </c>
      <c r="N79" s="11">
        <f>ATAN($M79+$F79-$D79*SIN($H79))</f>
        <v>0.71637042216223379</v>
      </c>
      <c r="O79" s="5">
        <f>($D79*$C79*COS($H79))+($D79*C79*($F79+$D79*COS($H79))*SIN($H79))/(SQRT($E79^2-($F79+$D79*COS($H79)^2)))</f>
        <v>-9.1282750520242498E-2</v>
      </c>
      <c r="P79" s="5">
        <f>(-$D79*$C79^2*SIN($H79))+(-$D79*$C79^2*($F79+$D79*COS($H79))*COS($H79)+$D79^2*C79^2*(SIN($H79))^2)/SQRT($E79^2-($F79+$D79*COS($H79))^2)+($D79^2*C79^2*($F79+$D79*COS($H79))^2*(SIN($H79))^2)/($E79^2-($F79+$D79*COS($H79))^2)^3/2</f>
        <v>-0.79204142154058732</v>
      </c>
      <c r="Q79" s="5">
        <f t="shared" si="22"/>
        <v>109.92366385231094</v>
      </c>
      <c r="R79" s="12">
        <f t="shared" si="23"/>
        <v>-7.6336147689075012E-2</v>
      </c>
      <c r="S79" s="12">
        <f t="shared" si="24"/>
        <v>109.84732770462186</v>
      </c>
      <c r="T79" s="12">
        <f>($R79+$A79)/COS($N79)</f>
        <v>145.74984040752733</v>
      </c>
      <c r="U79" s="12">
        <f t="shared" si="27"/>
        <v>1.6518309235145422E-2</v>
      </c>
      <c r="V79" s="12">
        <f t="shared" si="28"/>
        <v>-4.7593310584956479E-2</v>
      </c>
      <c r="W79" s="12">
        <f t="shared" si="29"/>
        <v>72.465965223265002</v>
      </c>
      <c r="X79" s="12">
        <f>$I79*(C79^2)*$D79</f>
        <v>5.0378346066777747E-2</v>
      </c>
      <c r="Y79" s="5">
        <f>$W79*$D79</f>
        <v>7.0413322316312064</v>
      </c>
      <c r="Z79" s="5">
        <f>$Y79*C79</f>
        <v>22.120997610377618</v>
      </c>
      <c r="AA79" s="13">
        <f t="shared" si="25"/>
        <v>0.59951317151526595</v>
      </c>
      <c r="AB79" s="5">
        <f t="shared" si="26"/>
        <v>2.2344766163326848</v>
      </c>
    </row>
    <row r="80" spans="1:28" s="5" customFormat="1" ht="14" x14ac:dyDescent="0.15">
      <c r="A80" s="5">
        <v>110</v>
      </c>
      <c r="B80" s="5">
        <v>2700</v>
      </c>
      <c r="C80" s="5">
        <f t="shared" si="16"/>
        <v>3.1415926535897927</v>
      </c>
      <c r="D80" s="7">
        <v>8.0429014274886301E-2</v>
      </c>
      <c r="E80" s="7">
        <v>0.43643132045322741</v>
      </c>
      <c r="F80" s="7">
        <v>5.4395402048749479E-2</v>
      </c>
      <c r="G80" s="7">
        <v>3.3745305582038492E-4</v>
      </c>
      <c r="H80" s="6">
        <v>1.314655712748946</v>
      </c>
      <c r="I80" s="8">
        <f t="shared" si="17"/>
        <v>7.3280744937940706E-2</v>
      </c>
      <c r="J80" s="8">
        <f t="shared" si="18"/>
        <v>0.39764272340520157</v>
      </c>
      <c r="K80" s="8">
        <f t="shared" si="19"/>
        <v>0.47092346834314225</v>
      </c>
      <c r="L80" s="8">
        <f t="shared" si="20"/>
        <v>9.4184693668628458E-2</v>
      </c>
      <c r="M80" s="11">
        <f t="shared" si="21"/>
        <v>0.49380326972456573</v>
      </c>
      <c r="N80" s="11">
        <f>ATAN($M80+$F80-$D80*SIN($H80))</f>
        <v>0.43968327103320437</v>
      </c>
      <c r="O80" s="5">
        <f>($D80*$C80*COS($H80))+($D80*C80*($F80+$D80*COS($H80))*SIN($H80))/(SQRT($E80^2-($F80+$D80*COS($H80)^2)))</f>
        <v>0.11452794150564449</v>
      </c>
      <c r="P80" s="5">
        <f>(-$D80*$C80^2*SIN($H80))+(-$D80*$C80^2*($F80+$D80*COS($H80))*COS($H80)+$D80^2*C80^2*(SIN($H80))^2)/SQRT($E80^2-($F80+$D80*COS($H80))^2)+($D80^2*C80^2*($F80+$D80*COS($H80))^2*(SIN($H80))^2)/($E80^2-($F80+$D80*COS($H80))^2)^3/2</f>
        <v>-0.63749474862294719</v>
      </c>
      <c r="Q80" s="5">
        <f t="shared" si="22"/>
        <v>109.9399577523856</v>
      </c>
      <c r="R80" s="12">
        <f t="shared" si="23"/>
        <v>-6.0042247614411584E-2</v>
      </c>
      <c r="S80" s="12">
        <f t="shared" si="24"/>
        <v>109.87991550477119</v>
      </c>
      <c r="T80" s="12">
        <f>($R80+$A80)/COS($N80)</f>
        <v>121.49585024231105</v>
      </c>
      <c r="U80" s="12">
        <f t="shared" si="27"/>
        <v>-1.4737421946642668E-2</v>
      </c>
      <c r="V80" s="12">
        <f t="shared" si="28"/>
        <v>-5.6272628938512405E-2</v>
      </c>
      <c r="W80" s="12">
        <f t="shared" si="29"/>
        <v>119.45511845575535</v>
      </c>
      <c r="X80" s="12">
        <f>$I80*(C80^2)*$D80</f>
        <v>5.8170442436729745E-2</v>
      </c>
      <c r="Y80" s="5">
        <f>$W80*$D80</f>
        <v>9.6076574274861812</v>
      </c>
      <c r="Z80" s="5">
        <f>$Y80*C80</f>
        <v>30.183345992397992</v>
      </c>
      <c r="AA80" s="13">
        <f t="shared" si="25"/>
        <v>0.74274934054305242</v>
      </c>
      <c r="AB80" s="5">
        <f t="shared" si="26"/>
        <v>2.7939787303740053</v>
      </c>
    </row>
    <row r="81" spans="1:28" s="5" customFormat="1" ht="14" x14ac:dyDescent="0.15">
      <c r="A81" s="5">
        <v>110</v>
      </c>
      <c r="B81" s="5">
        <v>2700</v>
      </c>
      <c r="C81" s="5">
        <f t="shared" si="16"/>
        <v>3.1415926535897927</v>
      </c>
      <c r="D81" s="7">
        <v>0.14092760757133893</v>
      </c>
      <c r="E81" s="7">
        <v>0.78625048717287438</v>
      </c>
      <c r="F81" s="7">
        <v>7.1506176044238812E-2</v>
      </c>
      <c r="G81" s="7">
        <v>3.304231608965547E-4</v>
      </c>
      <c r="H81" s="6">
        <v>1.5135446169062197</v>
      </c>
      <c r="I81" s="8">
        <f t="shared" si="17"/>
        <v>0.12572751298853982</v>
      </c>
      <c r="J81" s="8">
        <f t="shared" si="18"/>
        <v>0.70144750231591646</v>
      </c>
      <c r="K81" s="8">
        <f t="shared" si="19"/>
        <v>0.82717501530445625</v>
      </c>
      <c r="L81" s="8">
        <f t="shared" si="20"/>
        <v>0.16543500306089126</v>
      </c>
      <c r="M81" s="11">
        <f t="shared" si="21"/>
        <v>0.92506844461698001</v>
      </c>
      <c r="N81" s="11">
        <f>ATAN($M81+$F81-$D81*SIN($H81))</f>
        <v>0.70789661329180553</v>
      </c>
      <c r="O81" s="5">
        <f>($D81*$C81*COS($H81))+($D81*C81*($F81+$D81*COS($H81))*SIN($H81))/(SQRT($E81^2-($F81+$D81*COS($H81)^2)))</f>
        <v>7.2921794804068379E-2</v>
      </c>
      <c r="P81" s="5">
        <f>(-$D81*$C81^2*SIN($H81))+(-$D81*$C81^2*($F81+$D81*COS($H81))*COS($H81)+$D81^2*C81^2*(SIN($H81))^2)/SQRT($E81^2-($F81+$D81*COS($H81))^2)+($D81^2*C81^2*($F81+$D81*COS($H81))^2*(SIN($H81))^2)/($E81^2-($F81+$D81*COS($H81))^2)^3/2</f>
        <v>-1.1442456566969093</v>
      </c>
      <c r="Q81" s="5">
        <f t="shared" si="22"/>
        <v>109.81070171628193</v>
      </c>
      <c r="R81" s="12">
        <f t="shared" si="23"/>
        <v>-0.1892982837180647</v>
      </c>
      <c r="S81" s="12">
        <f t="shared" si="24"/>
        <v>109.62140343256387</v>
      </c>
      <c r="T81" s="12">
        <f>($R81+$A81)/COS($N81)</f>
        <v>144.53887590615761</v>
      </c>
      <c r="U81" s="12">
        <f t="shared" si="27"/>
        <v>-1.0006387878595728E-2</v>
      </c>
      <c r="V81" s="12">
        <f t="shared" si="28"/>
        <v>-0.17458784493971605</v>
      </c>
      <c r="W81" s="12">
        <f t="shared" si="29"/>
        <v>115.00862183410334</v>
      </c>
      <c r="X81" s="12">
        <f>$I81*(C81^2)*$D81</f>
        <v>0.1748743646137742</v>
      </c>
      <c r="Y81" s="5">
        <f>$W81*$D81</f>
        <v>16.207889925157037</v>
      </c>
      <c r="Z81" s="5">
        <f>$Y81*C81</f>
        <v>50.918587919065359</v>
      </c>
      <c r="AA81" s="13">
        <f t="shared" si="25"/>
        <v>0.53216079476564138</v>
      </c>
      <c r="AB81" s="5">
        <f t="shared" si="26"/>
        <v>2.0247305784463614</v>
      </c>
    </row>
    <row r="82" spans="1:28" s="5" customFormat="1" ht="14" x14ac:dyDescent="0.15">
      <c r="A82" s="5">
        <v>110</v>
      </c>
      <c r="B82" s="5">
        <v>2700</v>
      </c>
      <c r="C82" s="5">
        <f t="shared" si="16"/>
        <v>3.1415926535897927</v>
      </c>
      <c r="D82" s="7">
        <v>0.13686143087198921</v>
      </c>
      <c r="E82" s="7">
        <v>0.53338113726494496</v>
      </c>
      <c r="F82" s="7">
        <v>6.8227837575558906E-2</v>
      </c>
      <c r="G82" s="7">
        <v>3.0032646933435568E-4</v>
      </c>
      <c r="H82" s="6">
        <v>1.6313012806663703</v>
      </c>
      <c r="I82" s="8">
        <f t="shared" si="17"/>
        <v>0.11097839786894778</v>
      </c>
      <c r="J82" s="8">
        <f t="shared" si="18"/>
        <v>0.43250887916367547</v>
      </c>
      <c r="K82" s="8">
        <f t="shared" si="19"/>
        <v>0.54348727703262323</v>
      </c>
      <c r="L82" s="8">
        <f t="shared" si="20"/>
        <v>0.10869745540652465</v>
      </c>
      <c r="M82" s="11">
        <f t="shared" si="21"/>
        <v>0.6819789588331755</v>
      </c>
      <c r="N82" s="11">
        <f>ATAN($M82+$F82-$D82*SIN($H82))</f>
        <v>0.55035648219133237</v>
      </c>
      <c r="O82" s="5">
        <f>($D82*$C82*COS($H82))+($D82*C82*($F82+$D82*COS($H82))*SIN($H82))/(SQRT($E82^2-($F82+$D82*COS($H82)^2)))</f>
        <v>2.9393004310463433E-2</v>
      </c>
      <c r="P82" s="5">
        <f>(-$D82*$C82^2*SIN($H82))+(-$D82*$C82^2*($F82+$D82*COS($H82))*COS($H82)+$D82^2*C82^2*(SIN($H82))^2)/SQRT($E82^2-($F82+$D82*COS($H82))^2)+($D82^2*C82^2*($F82+$D82*COS($H82))^2*(SIN($H82))^2)/($E82^2-($F82+$D82*COS($H82))^2)^3/2</f>
        <v>-0.97659124802486796</v>
      </c>
      <c r="Q82" s="5">
        <f t="shared" si="22"/>
        <v>109.89384701636742</v>
      </c>
      <c r="R82" s="12">
        <f t="shared" si="23"/>
        <v>-0.10615298363258534</v>
      </c>
      <c r="S82" s="12">
        <f t="shared" si="24"/>
        <v>109.78769403273483</v>
      </c>
      <c r="T82" s="12">
        <f>($R82+$A82)/COS($N82)</f>
        <v>128.93221828464235</v>
      </c>
      <c r="U82" s="12">
        <f t="shared" si="27"/>
        <v>9.0645279650506966E-3</v>
      </c>
      <c r="V82" s="12">
        <f t="shared" si="28"/>
        <v>-0.14963178044961678</v>
      </c>
      <c r="W82" s="12">
        <f t="shared" si="29"/>
        <v>105.61537135915265</v>
      </c>
      <c r="X82" s="12">
        <f>$I82*(C82^2)*$D82</f>
        <v>0.14990608856131063</v>
      </c>
      <c r="Y82" s="5">
        <f>$W82*$D82</f>
        <v>14.454670846290139</v>
      </c>
      <c r="Z82" s="5">
        <f>$Y82*C82</f>
        <v>45.410687740763649</v>
      </c>
      <c r="AA82" s="13">
        <f t="shared" si="25"/>
        <v>0.52188793823909496</v>
      </c>
      <c r="AB82" s="5">
        <f t="shared" si="26"/>
        <v>1.9951068061485535</v>
      </c>
    </row>
    <row r="83" spans="1:28" s="5" customFormat="1" ht="14" x14ac:dyDescent="0.15">
      <c r="A83" s="5">
        <v>110</v>
      </c>
      <c r="B83" s="5">
        <v>2700</v>
      </c>
      <c r="C83" s="5">
        <f t="shared" si="16"/>
        <v>3.1415926535897927</v>
      </c>
      <c r="D83" s="7">
        <v>0.19514220354089257</v>
      </c>
      <c r="E83" s="7">
        <v>0.66889306267445492</v>
      </c>
      <c r="F83" s="7">
        <v>6.9336589961637191E-2</v>
      </c>
      <c r="G83" s="7">
        <v>1.4393790753277879E-4</v>
      </c>
      <c r="H83" s="6">
        <v>0.43640711478234528</v>
      </c>
      <c r="I83" s="8">
        <f t="shared" si="17"/>
        <v>7.5838573212331561E-2</v>
      </c>
      <c r="J83" s="8">
        <f t="shared" si="18"/>
        <v>0.25995348307229282</v>
      </c>
      <c r="K83" s="8">
        <f t="shared" si="19"/>
        <v>0.33579205628462439</v>
      </c>
      <c r="L83" s="8">
        <f t="shared" si="20"/>
        <v>6.7158411256924885E-2</v>
      </c>
      <c r="M83" s="11">
        <f t="shared" si="21"/>
        <v>0.60724360709276015</v>
      </c>
      <c r="N83" s="11">
        <f>ATAN($M83+$F83-$D83*SIN($H83))</f>
        <v>0.53606724270991468</v>
      </c>
      <c r="O83" s="5">
        <f>($D83*$C83*COS($H83))+($D83*C83*($F83+$D83*COS($H83))*SIN($H83))/(SQRT($E83^2-($F83+$D83*COS($H83)^2)))</f>
        <v>0.69229509208869144</v>
      </c>
      <c r="P83" s="5">
        <f>(-$D83*$C83^2*SIN($H83))+(-$D83*$C83^2*($F83+$D83*COS($H83))*COS($H83)+$D83^2*C83^2*(SIN($H83))^2)/SQRT($E83^2-($F83+$D83*COS($H83))^2)+($D83^2*C83^2*($F83+$D83*COS($H83))^2*(SIN($H83))^2)/($E83^2-($F83+$D83*COS($H83))^2)^3/2</f>
        <v>-1.3618835888932674</v>
      </c>
      <c r="Q83" s="5">
        <f t="shared" si="22"/>
        <v>109.90853806185305</v>
      </c>
      <c r="R83" s="12">
        <f t="shared" si="23"/>
        <v>-9.1461938146950875E-2</v>
      </c>
      <c r="S83" s="12">
        <f t="shared" si="24"/>
        <v>109.8170761237061</v>
      </c>
      <c r="T83" s="12">
        <f>($R83+$A83)/COS($N83)</f>
        <v>127.84165162700583</v>
      </c>
      <c r="U83" s="12">
        <f t="shared" si="27"/>
        <v>-0.13237368701384464</v>
      </c>
      <c r="V83" s="12">
        <f t="shared" si="28"/>
        <v>-6.1738919274004975E-2</v>
      </c>
      <c r="W83" s="12">
        <f t="shared" si="29"/>
        <v>105.6332479043411</v>
      </c>
      <c r="X83" s="12">
        <f>$I83*(C83^2)*$D83</f>
        <v>0.1460632984933635</v>
      </c>
      <c r="Y83" s="5">
        <f>$W83*$D83</f>
        <v>20.613504763234495</v>
      </c>
      <c r="Z83" s="5">
        <f>$Y83*C83</f>
        <v>64.759235128915691</v>
      </c>
      <c r="AA83" s="13">
        <f t="shared" si="25"/>
        <v>0.36324905036687793</v>
      </c>
      <c r="AB83" s="5">
        <f t="shared" si="26"/>
        <v>1.6016311865509492</v>
      </c>
    </row>
    <row r="84" spans="1:28" s="5" customFormat="1" ht="14" x14ac:dyDescent="0.15">
      <c r="A84" s="5">
        <v>110</v>
      </c>
      <c r="B84" s="5">
        <v>2700</v>
      </c>
      <c r="C84" s="5">
        <f t="shared" si="16"/>
        <v>3.1415926535897927</v>
      </c>
      <c r="D84" s="7">
        <v>0.15103104180496557</v>
      </c>
      <c r="E84" s="7">
        <v>0.53834947518466802</v>
      </c>
      <c r="F84" s="7">
        <v>0.13030457434891624</v>
      </c>
      <c r="G84" s="7">
        <v>4.6908075031352591E-4</v>
      </c>
      <c r="H84" s="6">
        <v>1.6088316594583032</v>
      </c>
      <c r="I84" s="8">
        <f t="shared" si="17"/>
        <v>0.19128353690836822</v>
      </c>
      <c r="J84" s="8">
        <f t="shared" si="18"/>
        <v>0.68182931452639595</v>
      </c>
      <c r="K84" s="8">
        <f t="shared" si="19"/>
        <v>0.87311285143476414</v>
      </c>
      <c r="L84" s="8">
        <f t="shared" si="20"/>
        <v>0.17462257028695283</v>
      </c>
      <c r="M84" s="11">
        <f t="shared" si="21"/>
        <v>0.70997687694314637</v>
      </c>
      <c r="N84" s="11">
        <f>ATAN($M84+$F84-$D84*SIN($H84))</f>
        <v>0.60354903198035315</v>
      </c>
      <c r="O84" s="5">
        <f>($D84*$C84*COS($H84))+($D84*C84*($F84+$D84*COS($H84))*SIN($H84))/(SQRT($E84^2-($F84+$D84*COS($H84)^2)))</f>
        <v>0.12993006831563098</v>
      </c>
      <c r="P84" s="5">
        <f>(-$D84*$C84^2*SIN($H84))+(-$D84*$C84^2*($F84+$D84*COS($H84))*COS($H84)+$D84^2*C84^2*(SIN($H84))^2)/SQRT($E84^2-($F84+$D84*COS($H84))^2)+($D84^2*C84^2*($F84+$D84*COS($H84))^2*(SIN($H84))^2)/($E84^2-($F84+$D84*COS($H84))^2)^3/2</f>
        <v>-0.96233349895702358</v>
      </c>
      <c r="Q84" s="5">
        <f t="shared" si="22"/>
        <v>109.83195485093889</v>
      </c>
      <c r="R84" s="12">
        <f t="shared" si="23"/>
        <v>-0.16804514906111209</v>
      </c>
      <c r="S84" s="12">
        <f t="shared" si="24"/>
        <v>109.66390970187777</v>
      </c>
      <c r="T84" s="12">
        <f>($R84+$A84)/COS($N84)</f>
        <v>133.40024470199984</v>
      </c>
      <c r="U84" s="12">
        <f t="shared" si="27"/>
        <v>1.0842415752847185E-2</v>
      </c>
      <c r="V84" s="12">
        <f t="shared" si="28"/>
        <v>-0.2849241997908038</v>
      </c>
      <c r="W84" s="12">
        <f t="shared" si="29"/>
        <v>106.87341611076921</v>
      </c>
      <c r="X84" s="12">
        <f>$I84*(C84^2)*$D84</f>
        <v>0.28513042209800671</v>
      </c>
      <c r="Y84" s="5">
        <f>$W84*$D84</f>
        <v>16.141203376465064</v>
      </c>
      <c r="Z84" s="5">
        <f>$Y84*C84</f>
        <v>50.709085947601402</v>
      </c>
      <c r="AA84" s="13">
        <f t="shared" si="25"/>
        <v>1.0407167475238224</v>
      </c>
      <c r="AB84" s="5">
        <f t="shared" si="26"/>
        <v>4.9266434257095444</v>
      </c>
    </row>
    <row r="85" spans="1:28" s="5" customFormat="1" ht="14" x14ac:dyDescent="0.15">
      <c r="A85" s="5">
        <v>110</v>
      </c>
      <c r="B85" s="5">
        <v>2700</v>
      </c>
      <c r="C85" s="5">
        <f t="shared" si="16"/>
        <v>3.1415926535897927</v>
      </c>
      <c r="D85" s="7">
        <v>7.9021147194725833E-2</v>
      </c>
      <c r="E85" s="7">
        <v>0.3773515686587865</v>
      </c>
      <c r="F85" s="7">
        <v>5.1070342549004548E-2</v>
      </c>
      <c r="G85" s="7">
        <v>4.3924872556863311E-4</v>
      </c>
      <c r="H85" s="6">
        <v>2.0612046062605338</v>
      </c>
      <c r="I85" s="8">
        <f t="shared" si="17"/>
        <v>9.3716833135287669E-2</v>
      </c>
      <c r="J85" s="8">
        <f t="shared" si="18"/>
        <v>0.44752822818668059</v>
      </c>
      <c r="K85" s="8">
        <f t="shared" si="19"/>
        <v>0.54124506132196826</v>
      </c>
      <c r="L85" s="8">
        <f t="shared" si="20"/>
        <v>0.10824901226439365</v>
      </c>
      <c r="M85" s="11">
        <f t="shared" si="21"/>
        <v>0.49658040101174344</v>
      </c>
      <c r="N85" s="11">
        <f>ATAN($M85+$F85-$D85*SIN($H85))</f>
        <v>0.44584680238583352</v>
      </c>
      <c r="O85" s="5">
        <f>($D85*$C85*COS($H85))+($D85*C85*($F85+$D85*COS($H85))*SIN($H85))/(SQRT($E85^2-($F85+$D85*COS($H85)^2)))</f>
        <v>-0.10575611910887051</v>
      </c>
      <c r="P85" s="5">
        <f>(-$D85*$C85^2*SIN($H85))+(-$D85*$C85^2*($F85+$D85*COS($H85))*COS($H85)+$D85^2*C85^2*(SIN($H85))^2)/SQRT($E85^2-($F85+$D85*COS($H85))^2)+($D85^2*C85^2*($F85+$D85*COS($H85))^2*(SIN($H85))^2)/($E85^2-($F85+$D85*COS($H85))^2)^3/2</f>
        <v>-0.5457173222627788</v>
      </c>
      <c r="Q85" s="5">
        <f t="shared" si="22"/>
        <v>109.94092663888948</v>
      </c>
      <c r="R85" s="12">
        <f t="shared" si="23"/>
        <v>-5.9073361110515608E-2</v>
      </c>
      <c r="S85" s="12">
        <f t="shared" si="24"/>
        <v>109.88185327777896</v>
      </c>
      <c r="T85" s="12">
        <f>($R85+$A85)/COS($N85)</f>
        <v>121.8525185684737</v>
      </c>
      <c r="U85" s="12">
        <f t="shared" si="27"/>
        <v>3.4424588593778539E-2</v>
      </c>
      <c r="V85" s="12">
        <f t="shared" si="28"/>
        <v>-6.4476062815508398E-2</v>
      </c>
      <c r="W85" s="12">
        <f t="shared" si="29"/>
        <v>72.235162600715341</v>
      </c>
      <c r="X85" s="12">
        <f>$I85*(C85^2)*$D85</f>
        <v>7.3090457489608671E-2</v>
      </c>
      <c r="Y85" s="5">
        <f>$W85*$D85</f>
        <v>5.7081054165060818</v>
      </c>
      <c r="Z85" s="5">
        <f>$Y85*C85</f>
        <v>17.932542042411612</v>
      </c>
      <c r="AA85" s="13">
        <f t="shared" si="25"/>
        <v>0.70270867492059219</v>
      </c>
      <c r="AB85" s="5">
        <f t="shared" si="26"/>
        <v>2.6189809252633895</v>
      </c>
    </row>
    <row r="86" spans="1:28" s="5" customFormat="1" ht="14" x14ac:dyDescent="0.15">
      <c r="A86" s="5">
        <v>110</v>
      </c>
      <c r="B86" s="5">
        <v>2700</v>
      </c>
      <c r="C86" s="5">
        <f t="shared" si="16"/>
        <v>3.1415926535897927</v>
      </c>
      <c r="D86" s="7">
        <v>0.15255652002661541</v>
      </c>
      <c r="E86" s="7">
        <v>0.71541823628665158</v>
      </c>
      <c r="F86" s="7">
        <v>0.14316414109935699</v>
      </c>
      <c r="G86" s="7">
        <v>2.7322406600709337E-4</v>
      </c>
      <c r="H86" s="6">
        <v>1.3283396039277566</v>
      </c>
      <c r="I86" s="8">
        <f t="shared" si="17"/>
        <v>0.11254170428342396</v>
      </c>
      <c r="J86" s="8">
        <f t="shared" si="18"/>
        <v>0.52776759441742849</v>
      </c>
      <c r="K86" s="8">
        <f t="shared" si="19"/>
        <v>0.6403092987008524</v>
      </c>
      <c r="L86" s="8">
        <f t="shared" si="20"/>
        <v>0.12806185974017048</v>
      </c>
      <c r="M86" s="11">
        <f t="shared" si="21"/>
        <v>0.85214852410316344</v>
      </c>
      <c r="N86" s="11">
        <f>ATAN($M86+$F86-$D86*SIN($H86))</f>
        <v>0.70287690204201925</v>
      </c>
      <c r="O86" s="5">
        <f>($D86*$C86*COS($H86))+($D86*C86*($F86+$D86*COS($H86))*SIN($H86))/(SQRT($E86^2-($F86+$D86*COS($H86)^2)))</f>
        <v>0.25450700906619506</v>
      </c>
      <c r="P86" s="5">
        <f>(-$D86*$C86^2*SIN($H86))+(-$D86*$C86^2*($F86+$D86*COS($H86))*COS($H86)+$D86^2*C86^2*(SIN($H86))^2)/SQRT($E86^2-($F86+$D86*COS($H86))^2)+($D86^2*C86^2*($F86+$D86*COS($H86))^2*(SIN($H86))^2)/($E86^2-($F86+$D86*COS($H86))^2)^3/2</f>
        <v>-1.2111623859908276</v>
      </c>
      <c r="Q86" s="5">
        <f t="shared" si="22"/>
        <v>109.84489629240267</v>
      </c>
      <c r="R86" s="12">
        <f t="shared" si="23"/>
        <v>-0.15510370759732758</v>
      </c>
      <c r="S86" s="12">
        <f t="shared" si="24"/>
        <v>109.68979258480533</v>
      </c>
      <c r="T86" s="12">
        <f>($R86+$A86)/COS($N86)</f>
        <v>143.96718064728339</v>
      </c>
      <c r="U86" s="12">
        <f t="shared" si="27"/>
        <v>-4.0683175959210019E-2</v>
      </c>
      <c r="V86" s="12">
        <f t="shared" si="28"/>
        <v>-0.16449469124919622</v>
      </c>
      <c r="W86" s="12">
        <f t="shared" si="29"/>
        <v>128.97528507995014</v>
      </c>
      <c r="X86" s="12">
        <f>$I86*(C86^2)*$D86</f>
        <v>0.1694509494080704</v>
      </c>
      <c r="Y86" s="5">
        <f>$W86*$D86</f>
        <v>19.676020661237846</v>
      </c>
      <c r="Z86" s="5">
        <f>$Y86*C86</f>
        <v>61.81404196122579</v>
      </c>
      <c r="AA86" s="13">
        <f t="shared" si="25"/>
        <v>1.2180673269107749</v>
      </c>
      <c r="AB86" s="5">
        <f t="shared" si="26"/>
        <v>7.9065334991505303</v>
      </c>
    </row>
    <row r="87" spans="1:28" s="5" customFormat="1" ht="14" x14ac:dyDescent="0.15">
      <c r="A87" s="5">
        <v>110</v>
      </c>
      <c r="B87" s="5">
        <v>2700</v>
      </c>
      <c r="C87" s="5">
        <f t="shared" si="16"/>
        <v>3.1415926535897927</v>
      </c>
      <c r="D87" s="7">
        <v>0.15314606512017206</v>
      </c>
      <c r="E87" s="7">
        <v>0.5609292876628913</v>
      </c>
      <c r="F87" s="7">
        <v>0.14892423951575179</v>
      </c>
      <c r="G87" s="7">
        <v>2.1929744275579917E-4</v>
      </c>
      <c r="H87" s="6">
        <v>1.5613816586874742</v>
      </c>
      <c r="I87" s="8">
        <f t="shared" si="17"/>
        <v>9.0678259212210427E-2</v>
      </c>
      <c r="J87" s="8">
        <f t="shared" si="18"/>
        <v>0.33212796754852114</v>
      </c>
      <c r="K87" s="8">
        <f t="shared" si="19"/>
        <v>0.42280622676073154</v>
      </c>
      <c r="L87" s="8">
        <f t="shared" si="20"/>
        <v>8.4561245352146319E-2</v>
      </c>
      <c r="M87" s="11">
        <f t="shared" si="21"/>
        <v>0.73225782963658426</v>
      </c>
      <c r="N87" s="11">
        <f>ATAN($M87+$F87-$D87*SIN($H87))</f>
        <v>0.62929976532122955</v>
      </c>
      <c r="O87" s="5">
        <f>($D87*$C87*COS($H87))+($D87*C87*($F87+$D87*COS($H87))*SIN($H87))/(SQRT($E87^2-($F87+$D87*COS($H87)^2)))</f>
        <v>0.18224283789345466</v>
      </c>
      <c r="P87" s="5">
        <f>(-$D87*$C87^2*SIN($H87))+(-$D87*$C87^2*($F87+$D87*COS($H87))*COS($H87)+$D87^2*C87^2*(SIN($H87))^2)/SQRT($E87^2-($F87+$D87*COS($H87))^2)+($D87^2*C87^2*($F87+$D87*COS($H87))^2*(SIN($H87))^2)/($E87^2-($F87+$D87*COS($H87))^2)^3/2</f>
        <v>-0.98201024502906387</v>
      </c>
      <c r="Q87" s="5">
        <f t="shared" si="22"/>
        <v>109.91695999073177</v>
      </c>
      <c r="R87" s="12">
        <f t="shared" si="23"/>
        <v>-8.3040009268223997E-2</v>
      </c>
      <c r="S87" s="12">
        <f t="shared" si="24"/>
        <v>109.83391998146354</v>
      </c>
      <c r="T87" s="12">
        <f>($R87+$A87)/COS($N87)</f>
        <v>135.961828232616</v>
      </c>
      <c r="U87" s="12">
        <f t="shared" si="27"/>
        <v>-1.2903495097010159E-3</v>
      </c>
      <c r="V87" s="12">
        <f t="shared" si="28"/>
        <v>-0.13705330564575119</v>
      </c>
      <c r="W87" s="12">
        <f t="shared" si="29"/>
        <v>110.66547935603407</v>
      </c>
      <c r="X87" s="12">
        <f>$I87*(C87^2)*$D87</f>
        <v>0.13705937979680516</v>
      </c>
      <c r="Y87" s="5">
        <f>$W87*$D87</f>
        <v>16.947982708014251</v>
      </c>
      <c r="Z87" s="5">
        <f>$Y87*C87</f>
        <v>53.243657968664415</v>
      </c>
      <c r="AA87" s="13">
        <f t="shared" si="25"/>
        <v>1.3354458965454579</v>
      </c>
      <c r="AB87" s="5">
        <f t="shared" si="26"/>
        <v>12.348574082741818</v>
      </c>
    </row>
    <row r="88" spans="1:28" s="5" customFormat="1" ht="14" x14ac:dyDescent="0.15">
      <c r="A88" s="5">
        <v>110</v>
      </c>
      <c r="B88" s="5">
        <v>2700</v>
      </c>
      <c r="C88" s="5">
        <f t="shared" si="16"/>
        <v>3.1415926535897927</v>
      </c>
      <c r="D88" s="7">
        <v>0.15733446022132314</v>
      </c>
      <c r="E88" s="7">
        <v>0.64269429821126611</v>
      </c>
      <c r="F88" s="7">
        <v>0.10285241027819655</v>
      </c>
      <c r="G88" s="7">
        <v>1.1959781103285515E-4</v>
      </c>
      <c r="H88" s="6">
        <v>0.95964938281082757</v>
      </c>
      <c r="I88" s="8">
        <f t="shared" si="17"/>
        <v>5.0805514014766393E-2</v>
      </c>
      <c r="J88" s="8">
        <f t="shared" si="18"/>
        <v>0.20753504431928405</v>
      </c>
      <c r="K88" s="8">
        <f t="shared" si="19"/>
        <v>0.25834055833405045</v>
      </c>
      <c r="L88" s="8">
        <f t="shared" si="20"/>
        <v>5.1668111666810096E-2</v>
      </c>
      <c r="M88" s="11">
        <f t="shared" si="21"/>
        <v>0.70622439605332588</v>
      </c>
      <c r="N88" s="11">
        <f>ATAN($M88+$F88-$D88*SIN($H88))</f>
        <v>0.59732802980941513</v>
      </c>
      <c r="O88" s="5">
        <f>($D88*$C88*COS($H88))+($D88*C88*($F88+$D88*COS($H88))*SIN($H88))/(SQRT($E88^2-($F88+$D88*COS($H88)^2)))</f>
        <v>0.43742325750900235</v>
      </c>
      <c r="P88" s="5">
        <f>(-$D88*$C88^2*SIN($H88))+(-$D88*$C88^2*($F88+$D88*COS($H88))*COS($H88)+$D88^2*C88^2*(SIN($H88))^2)/SQRT($E88^2-($F88+$D88*COS($H88))^2)+($D88^2*C88^2*($F88+$D88*COS($H88))^2*(SIN($H88))^2)/($E88^2-($F88+$D88*COS($H88))^2)^3/2</f>
        <v>-1.2275448490339333</v>
      </c>
      <c r="Q88" s="5">
        <f t="shared" si="22"/>
        <v>109.93657507566411</v>
      </c>
      <c r="R88" s="12">
        <f t="shared" si="23"/>
        <v>-6.3424924335902813E-2</v>
      </c>
      <c r="S88" s="12">
        <f t="shared" si="24"/>
        <v>109.8731501513282</v>
      </c>
      <c r="T88" s="12">
        <f>($R88+$A88)/COS($N88)</f>
        <v>132.95969267044953</v>
      </c>
      <c r="U88" s="12">
        <f t="shared" si="27"/>
        <v>-4.5268950157200255E-2</v>
      </c>
      <c r="V88" s="12">
        <f t="shared" si="28"/>
        <v>-6.4612013860541939E-2</v>
      </c>
      <c r="W88" s="12">
        <f t="shared" si="29"/>
        <v>132.94699772219863</v>
      </c>
      <c r="X88" s="12">
        <f>$I88*(C88^2)*$D88</f>
        <v>7.8892269478383903E-2</v>
      </c>
      <c r="Y88" s="5">
        <f>$W88*$D88</f>
        <v>20.917144124667598</v>
      </c>
      <c r="Z88" s="5">
        <f>$Y88*C88</f>
        <v>65.713146316134612</v>
      </c>
      <c r="AA88" s="13">
        <f t="shared" si="25"/>
        <v>0.7124876148273962</v>
      </c>
      <c r="AB88" s="5">
        <f t="shared" si="26"/>
        <v>2.6602129394542939</v>
      </c>
    </row>
    <row r="89" spans="1:28" s="5" customFormat="1" ht="14" x14ac:dyDescent="0.15">
      <c r="A89" s="5">
        <v>110</v>
      </c>
      <c r="B89" s="5">
        <v>2700</v>
      </c>
      <c r="C89" s="5">
        <f t="shared" si="16"/>
        <v>3.1415926535897927</v>
      </c>
      <c r="D89" s="7">
        <v>0.1777565453770365</v>
      </c>
      <c r="E89" s="7">
        <v>0.51295205850892989</v>
      </c>
      <c r="F89" s="7">
        <v>8.9585581508015294E-2</v>
      </c>
      <c r="G89" s="7">
        <v>1.2150797088647308E-4</v>
      </c>
      <c r="H89" s="6">
        <v>2.0556505409117363</v>
      </c>
      <c r="I89" s="8">
        <f t="shared" si="17"/>
        <v>5.8316860279493052E-2</v>
      </c>
      <c r="J89" s="8">
        <f t="shared" si="18"/>
        <v>0.16828496223694062</v>
      </c>
      <c r="K89" s="8">
        <f t="shared" si="19"/>
        <v>0.22660182251643368</v>
      </c>
      <c r="L89" s="8">
        <f t="shared" si="20"/>
        <v>4.5320364503286741E-2</v>
      </c>
      <c r="M89" s="11">
        <f t="shared" si="21"/>
        <v>0.75224283481618892</v>
      </c>
      <c r="N89" s="11">
        <f>ATAN($M89+$F89-$D89*SIN($H89))</f>
        <v>0.60028792213449611</v>
      </c>
      <c r="O89" s="5">
        <f>($D89*$C89*COS($H89))+($D89*C89*($F89+$D89*COS($H89))*SIN($H89))/(SQRT($E89^2-($F89+$D89*COS($H89)^2)))</f>
        <v>-0.25121492137794027</v>
      </c>
      <c r="P89" s="5">
        <f>(-$D89*$C89^2*SIN($H89))+(-$D89*$C89^2*($F89+$D89*COS($H89))*COS($H89)+$D89^2*C89^2*(SIN($H89))^2)/SQRT($E89^2-($F89+$D89*COS($H89))^2)+($D89^2*C89^2*($F89+$D89*COS($H89))^2*(SIN($H89))^2)/($E89^2-($F89+$D89*COS($H89))^2)^3/2</f>
        <v>-1.0652039372333937</v>
      </c>
      <c r="Q89" s="5">
        <f t="shared" si="22"/>
        <v>109.95172456929424</v>
      </c>
      <c r="R89" s="12">
        <f t="shared" si="23"/>
        <v>-4.8275430705753575E-2</v>
      </c>
      <c r="S89" s="12">
        <f t="shared" si="24"/>
        <v>109.90344913858848</v>
      </c>
      <c r="T89" s="12">
        <f>($R89+$A89)/COS($N89)</f>
        <v>133.2468749605579</v>
      </c>
      <c r="U89" s="12">
        <f t="shared" si="27"/>
        <v>4.7684734790747467E-2</v>
      </c>
      <c r="V89" s="12">
        <f t="shared" si="28"/>
        <v>-9.0518337714411937E-2</v>
      </c>
      <c r="W89" s="12">
        <f t="shared" si="29"/>
        <v>62.197909772758301</v>
      </c>
      <c r="X89" s="12">
        <f>$I89*(C89^2)*$D89</f>
        <v>0.10231032887565289</v>
      </c>
      <c r="Y89" s="5">
        <f>$W89*$D89</f>
        <v>11.056085570878134</v>
      </c>
      <c r="Z89" s="5">
        <f>$Y89*C89</f>
        <v>34.733717206930855</v>
      </c>
      <c r="AA89" s="13">
        <f t="shared" si="25"/>
        <v>0.52819955655348627</v>
      </c>
      <c r="AB89" s="5">
        <f t="shared" si="26"/>
        <v>2.0132384285655962</v>
      </c>
    </row>
    <row r="90" spans="1:28" s="5" customFormat="1" ht="14" x14ac:dyDescent="0.15">
      <c r="A90" s="5">
        <v>110</v>
      </c>
      <c r="B90" s="5">
        <v>2700</v>
      </c>
      <c r="C90" s="5">
        <f t="shared" si="16"/>
        <v>3.1415926535897927</v>
      </c>
      <c r="D90" s="7">
        <v>0.18781477328379448</v>
      </c>
      <c r="E90" s="7">
        <v>0.7367374247208146</v>
      </c>
      <c r="F90" s="7">
        <v>6.221108521272694E-2</v>
      </c>
      <c r="G90" s="7">
        <v>2.8830653736203275E-4</v>
      </c>
      <c r="H90" s="6">
        <v>1.4167157541082458</v>
      </c>
      <c r="I90" s="8">
        <f t="shared" si="17"/>
        <v>0.14620021276739223</v>
      </c>
      <c r="J90" s="8">
        <f t="shared" si="18"/>
        <v>0.57349678283895422</v>
      </c>
      <c r="K90" s="8">
        <f t="shared" si="19"/>
        <v>0.71969699560634648</v>
      </c>
      <c r="L90" s="8">
        <f t="shared" si="20"/>
        <v>0.1439393991212693</v>
      </c>
      <c r="M90" s="11">
        <f t="shared" si="21"/>
        <v>0.90519241894590996</v>
      </c>
      <c r="N90" s="11">
        <f>ATAN($M90+$F90-$D90*SIN($H90))</f>
        <v>0.663552983423636</v>
      </c>
      <c r="O90" s="5">
        <f>($D90*$C90*COS($H90))+($D90*C90*($F90+$D90*COS($H90))*SIN($H90))/(SQRT($E90^2-($F90+$D90*COS($H90)^2)))</f>
        <v>0.16747470408497789</v>
      </c>
      <c r="P90" s="5">
        <f>(-$D90*$C90^2*SIN($H90))+(-$D90*$C90^2*($F90+$D90*COS($H90))*COS($H90)+$D90^2*C90^2*(SIN($H90))^2)/SQRT($E90^2-($F90+$D90*COS($H90))^2)+($D90^2*C90^2*($F90+$D90*COS($H90))^2*(SIN($H90))^2)/($E90^2-($F90+$D90*COS($H90))^2)^3/2</f>
        <v>-1.3929142981370473</v>
      </c>
      <c r="Q90" s="5">
        <f t="shared" si="22"/>
        <v>109.79950475289874</v>
      </c>
      <c r="R90" s="12">
        <f t="shared" si="23"/>
        <v>-0.20049524710127115</v>
      </c>
      <c r="S90" s="12">
        <f t="shared" si="24"/>
        <v>109.59900950579747</v>
      </c>
      <c r="T90" s="12">
        <f>($R90+$A90)/COS($N90)</f>
        <v>139.37328064975114</v>
      </c>
      <c r="U90" s="12">
        <f t="shared" si="27"/>
        <v>-4.1591597765876814E-2</v>
      </c>
      <c r="V90" s="12">
        <f t="shared" si="28"/>
        <v>-0.26779453985772683</v>
      </c>
      <c r="W90" s="12">
        <f t="shared" si="29"/>
        <v>121.67314484342715</v>
      </c>
      <c r="X90" s="12">
        <f>$I90*(C90^2)*$D90</f>
        <v>0.27100512279720868</v>
      </c>
      <c r="Y90" s="5">
        <f>$W90*$D90</f>
        <v>22.852014113494558</v>
      </c>
      <c r="Z90" s="5">
        <f>$Y90*C90</f>
        <v>71.791719658684769</v>
      </c>
      <c r="AA90" s="13">
        <f t="shared" si="25"/>
        <v>0.33761362428531938</v>
      </c>
      <c r="AB90" s="5">
        <f t="shared" si="26"/>
        <v>1.5475484266820509</v>
      </c>
    </row>
    <row r="91" spans="1:28" s="5" customFormat="1" ht="14" x14ac:dyDescent="0.15">
      <c r="A91" s="5">
        <v>110</v>
      </c>
      <c r="B91" s="5">
        <v>2700</v>
      </c>
      <c r="C91" s="5">
        <f t="shared" si="16"/>
        <v>3.1415926535897927</v>
      </c>
      <c r="D91" s="7">
        <v>0.13108124820218589</v>
      </c>
      <c r="E91" s="7">
        <v>0.50860563098014355</v>
      </c>
      <c r="F91" s="7">
        <v>9.6544952061822509E-2</v>
      </c>
      <c r="G91" s="7">
        <v>3.7081607534172488E-4</v>
      </c>
      <c r="H91" s="6">
        <v>0.39923572346885894</v>
      </c>
      <c r="I91" s="8">
        <f t="shared" si="17"/>
        <v>0.13123899182491858</v>
      </c>
      <c r="J91" s="8">
        <f t="shared" si="18"/>
        <v>0.50921768873724771</v>
      </c>
      <c r="K91" s="8">
        <f t="shared" si="19"/>
        <v>0.64045668056216631</v>
      </c>
      <c r="L91" s="8">
        <f t="shared" si="20"/>
        <v>0.12809133611243326</v>
      </c>
      <c r="M91" s="11">
        <f t="shared" si="21"/>
        <v>0.43465592032062761</v>
      </c>
      <c r="N91" s="11">
        <f>ATAN($M91+$F91-$D91*SIN($H91))</f>
        <v>0.44772128772825748</v>
      </c>
      <c r="O91" s="5">
        <f>($D91*$C91*COS($H91))+($D91*C91*($F91+$D91*COS($H91))*SIN($H91))/(SQRT($E91^2-($F91+$D91*COS($H91)^2)))</f>
        <v>0.53367038801787925</v>
      </c>
      <c r="P91" s="5">
        <f>(-$D91*$C91^2*SIN($H91))+(-$D91*$C91^2*($F91+$D91*COS($H91))*COS($H91)+$D91^2*C91^2*(SIN($H91))^2)/SQRT($E91^2-($F91+$D91*COS($H91))^2)+($D91^2*C91^2*($F91+$D91*COS($H91))^2*(SIN($H91))^2)/($E91^2-($F91+$D91*COS($H91))^2)^3/2</f>
        <v>-0.94648993020011352</v>
      </c>
      <c r="Q91" s="5">
        <f t="shared" si="22"/>
        <v>109.8787628402237</v>
      </c>
      <c r="R91" s="12">
        <f t="shared" si="23"/>
        <v>-0.12123715977629623</v>
      </c>
      <c r="S91" s="12">
        <f t="shared" si="24"/>
        <v>109.7575256804474</v>
      </c>
      <c r="T91" s="12">
        <f>($R91+$A91)/COS($N91)</f>
        <v>121.89303731218641</v>
      </c>
      <c r="U91" s="12">
        <f t="shared" si="27"/>
        <v>-0.15643422479110747</v>
      </c>
      <c r="V91" s="12">
        <f t="shared" si="28"/>
        <v>-6.599844424716296E-2</v>
      </c>
      <c r="W91" s="12">
        <f t="shared" si="29"/>
        <v>91.33062646169175</v>
      </c>
      <c r="X91" s="12">
        <f>$I91*(C91^2)*$D91</f>
        <v>0.16978651692357855</v>
      </c>
      <c r="Y91" s="5">
        <f>$W91*$D91</f>
        <v>11.971732515686142</v>
      </c>
      <c r="Z91" s="5">
        <f>$Y91*C91</f>
        <v>37.610306922021628</v>
      </c>
      <c r="AA91" s="13">
        <f t="shared" si="25"/>
        <v>0.82792225748988135</v>
      </c>
      <c r="AB91" s="5">
        <f t="shared" si="26"/>
        <v>3.2289706740320923</v>
      </c>
    </row>
    <row r="92" spans="1:28" s="5" customFormat="1" ht="14" x14ac:dyDescent="0.15">
      <c r="A92" s="5">
        <v>110</v>
      </c>
      <c r="B92" s="5">
        <v>2700</v>
      </c>
      <c r="C92" s="5">
        <f t="shared" si="16"/>
        <v>3.1415926535897927</v>
      </c>
      <c r="D92" s="7">
        <v>0.13266253740587935</v>
      </c>
      <c r="E92" s="7">
        <v>0.70127782795631721</v>
      </c>
      <c r="F92" s="7">
        <v>8.1819148799058147E-2</v>
      </c>
      <c r="G92" s="7">
        <v>2.2708203407774364E-4</v>
      </c>
      <c r="H92" s="6">
        <v>0.4115029753644206</v>
      </c>
      <c r="I92" s="8">
        <f t="shared" si="17"/>
        <v>8.1338252868112956E-2</v>
      </c>
      <c r="J92" s="8">
        <f t="shared" si="18"/>
        <v>0.42996850819004467</v>
      </c>
      <c r="K92" s="8">
        <f t="shared" si="19"/>
        <v>0.51130676105815764</v>
      </c>
      <c r="L92" s="8">
        <f t="shared" si="20"/>
        <v>0.10226135221163153</v>
      </c>
      <c r="M92" s="11">
        <f t="shared" si="21"/>
        <v>0.66698270846259367</v>
      </c>
      <c r="N92" s="11">
        <f>ATAN($M92+$F92-$D92*SIN($H92))</f>
        <v>0.60786018705459721</v>
      </c>
      <c r="O92" s="5">
        <f>($D92*$C92*COS($H92))+($D92*C92*($F92+$D92*COS($H92))*SIN($H92))/(SQRT($E92^2-($F92+$D92*COS($H92)^2)))</f>
        <v>0.44404014674389553</v>
      </c>
      <c r="P92" s="5">
        <f>(-$D92*$C92^2*SIN($H92))+(-$D92*$C92^2*($F92+$D92*COS($H92))*COS($H92)+$D92^2*C92^2*(SIN($H92))^2)/SQRT($E92^2-($F92+$D92*COS($H92))^2)+($D92^2*C92^2*($F92+$D92*COS($H92))^2*(SIN($H92))^2)/($E92^2-($F92+$D92*COS($H92))^2)^3/2</f>
        <v>-0.83972003974703735</v>
      </c>
      <c r="Q92" s="5">
        <f t="shared" si="22"/>
        <v>109.91412909325626</v>
      </c>
      <c r="R92" s="12">
        <f t="shared" si="23"/>
        <v>-8.5870906743737013E-2</v>
      </c>
      <c r="S92" s="12">
        <f t="shared" si="24"/>
        <v>109.82825818651253</v>
      </c>
      <c r="T92" s="12">
        <f>($R92+$A92)/COS($N92)</f>
        <v>133.89923540048071</v>
      </c>
      <c r="U92" s="12">
        <f t="shared" si="27"/>
        <v>-9.7607942153387403E-2</v>
      </c>
      <c r="V92" s="12">
        <f t="shared" si="28"/>
        <v>-4.2597986648993731E-2</v>
      </c>
      <c r="W92" s="12">
        <f t="shared" si="29"/>
        <v>114.05196098852021</v>
      </c>
      <c r="X92" s="12">
        <f>$I92*(C92^2)*$D92</f>
        <v>0.10649835133919618</v>
      </c>
      <c r="Y92" s="5">
        <f>$W92*$D92</f>
        <v>15.130422540853456</v>
      </c>
      <c r="Z92" s="5">
        <f>$Y92*C92</f>
        <v>47.533624300054619</v>
      </c>
      <c r="AA92" s="13">
        <f t="shared" si="25"/>
        <v>0.66460270830901735</v>
      </c>
      <c r="AB92" s="5">
        <f t="shared" si="26"/>
        <v>2.4668006808952683</v>
      </c>
    </row>
    <row r="93" spans="1:28" s="5" customFormat="1" ht="14" x14ac:dyDescent="0.15">
      <c r="A93" s="5">
        <v>110</v>
      </c>
      <c r="B93" s="5">
        <v>2700</v>
      </c>
      <c r="C93" s="5">
        <f t="shared" si="16"/>
        <v>3.1415926535897927</v>
      </c>
      <c r="D93" s="7">
        <v>0.18291619524187341</v>
      </c>
      <c r="E93" s="7">
        <v>0.56628078738164023</v>
      </c>
      <c r="F93" s="7">
        <v>8.3842594354618466E-2</v>
      </c>
      <c r="G93" s="7">
        <v>1.1579268422522993E-4</v>
      </c>
      <c r="H93" s="6">
        <v>1.4543860278759295</v>
      </c>
      <c r="I93" s="8">
        <f t="shared" si="17"/>
        <v>5.7186964535371435E-2</v>
      </c>
      <c r="J93" s="8">
        <f t="shared" si="18"/>
        <v>0.17704216546946147</v>
      </c>
      <c r="K93" s="8">
        <f t="shared" si="19"/>
        <v>0.23422913000483292</v>
      </c>
      <c r="L93" s="8">
        <f t="shared" si="20"/>
        <v>4.6845826000966588E-2</v>
      </c>
      <c r="M93" s="11">
        <f t="shared" si="21"/>
        <v>0.73526491921902359</v>
      </c>
      <c r="N93" s="11">
        <f>ATAN($M93+$F93-$D93*SIN($H93))</f>
        <v>0.56748735373729742</v>
      </c>
      <c r="O93" s="5">
        <f>($D93*$C93*COS($H93))+($D93*C93*($F93+$D93*COS($H93))*SIN($H93))/(SQRT($E93^2-($F93+$D93*COS($H93)^2)))</f>
        <v>0.19064077521327671</v>
      </c>
      <c r="P93" s="5">
        <f>(-$D93*$C93^2*SIN($H93))+(-$D93*$C93^2*($F93+$D93*COS($H93))*COS($H93)+$D93^2*C93^2*(SIN($H93))^2)/SQRT($E93^2-($F93+$D93*COS($H93))^2)+($D93^2*C93^2*($F93+$D93*COS($H93))^2*(SIN($H93))^2)/($E93^2-($F93+$D93*COS($H93))^2)^3/2</f>
        <v>-1.1866534659842494</v>
      </c>
      <c r="Q93" s="5">
        <f t="shared" si="22"/>
        <v>109.94441023820904</v>
      </c>
      <c r="R93" s="12">
        <f t="shared" si="23"/>
        <v>-5.558976179094207E-2</v>
      </c>
      <c r="S93" s="12">
        <f t="shared" si="24"/>
        <v>109.8888204764181</v>
      </c>
      <c r="T93" s="12">
        <f>($R93+$A93)/COS($N93)</f>
        <v>130.38109689494939</v>
      </c>
      <c r="U93" s="12">
        <f t="shared" si="27"/>
        <v>-1.1991100159102947E-2</v>
      </c>
      <c r="V93" s="12">
        <f t="shared" si="28"/>
        <v>-0.10254149369444542</v>
      </c>
      <c r="W93" s="12">
        <f t="shared" si="29"/>
        <v>117.34013165583787</v>
      </c>
      <c r="X93" s="12">
        <f>$I93*(C93^2)*$D93</f>
        <v>0.10324022671475314</v>
      </c>
      <c r="Y93" s="5">
        <f>$W93*$D93</f>
        <v>21.463410431666372</v>
      </c>
      <c r="Z93" s="5">
        <f>$Y93*C93</f>
        <v>67.429292533105595</v>
      </c>
      <c r="AA93" s="13">
        <f t="shared" si="25"/>
        <v>0.47615599786256274</v>
      </c>
      <c r="AB93" s="5">
        <f t="shared" si="26"/>
        <v>1.8699770788218359</v>
      </c>
    </row>
    <row r="94" spans="1:28" s="5" customFormat="1" ht="14" x14ac:dyDescent="0.15">
      <c r="A94" s="5">
        <v>110</v>
      </c>
      <c r="B94" s="5">
        <v>2700</v>
      </c>
      <c r="C94" s="5">
        <f t="shared" si="16"/>
        <v>3.1415926535897927</v>
      </c>
      <c r="D94" s="7">
        <v>0.18756856096627705</v>
      </c>
      <c r="E94" s="7">
        <v>0.59196331303168814</v>
      </c>
      <c r="F94" s="7">
        <v>8.4249660814257096E-2</v>
      </c>
      <c r="G94" s="7">
        <v>2.8088075606463268E-4</v>
      </c>
      <c r="H94" s="6">
        <v>0.81320233644622542</v>
      </c>
      <c r="I94" s="8">
        <f t="shared" si="17"/>
        <v>0.14224787788904023</v>
      </c>
      <c r="J94" s="8">
        <f t="shared" si="18"/>
        <v>0.44893197790253653</v>
      </c>
      <c r="K94" s="8">
        <f t="shared" si="19"/>
        <v>0.59117985579157672</v>
      </c>
      <c r="L94" s="8">
        <f t="shared" si="20"/>
        <v>0.11823597115831536</v>
      </c>
      <c r="M94" s="11">
        <f t="shared" si="21"/>
        <v>0.61441552454982096</v>
      </c>
      <c r="N94" s="11">
        <f>ATAN($M94+$F94-$D94*SIN($H94))</f>
        <v>0.51231214580983409</v>
      </c>
      <c r="O94" s="5">
        <f>($D94*$C94*COS($H94))+($D94*C94*($F94+$D94*COS($H94))*SIN($H94))/(SQRT($E94^2-($F94+$D94*COS($H94)^2)))</f>
        <v>0.62144350309344387</v>
      </c>
      <c r="P94" s="5">
        <f>(-$D94*$C94^2*SIN($H94))+(-$D94*$C94^2*($F94+$D94*COS($H94))*COS($H94)+$D94^2*C94^2*(SIN($H94))^2)/SQRT($E94^2-($F94+$D94*COS($H94))^2)+($D94^2*C94^2*($F94+$D94*COS($H94))^2*(SIN($H94))^2)/($E94^2-($F94+$D94*COS($H94))^2)^3/2</f>
        <v>-1.3572892565068466</v>
      </c>
      <c r="Q94" s="5">
        <f t="shared" si="22"/>
        <v>109.83951958661416</v>
      </c>
      <c r="R94" s="12">
        <f t="shared" si="23"/>
        <v>-0.1604804133858348</v>
      </c>
      <c r="S94" s="12">
        <f t="shared" si="24"/>
        <v>109.67903917322832</v>
      </c>
      <c r="T94" s="12">
        <f>($R94+$A94)/COS($N94)</f>
        <v>126.01861638914677</v>
      </c>
      <c r="U94" s="12">
        <f t="shared" si="27"/>
        <v>-0.18095610888821639</v>
      </c>
      <c r="V94" s="12">
        <f t="shared" si="28"/>
        <v>-0.19130930904932297</v>
      </c>
      <c r="W94" s="12">
        <f t="shared" si="29"/>
        <v>122.24674351208536</v>
      </c>
      <c r="X94" s="12">
        <f>$I94*(C94^2)*$D94</f>
        <v>0.26333318262781352</v>
      </c>
      <c r="Y94" s="5">
        <f>$W94*$D94</f>
        <v>22.929645763375415</v>
      </c>
      <c r="Z94" s="5">
        <f>$Y94*C94</f>
        <v>72.035606679636516</v>
      </c>
      <c r="AA94" s="13">
        <f t="shared" si="25"/>
        <v>0.4658330933104341</v>
      </c>
      <c r="AB94" s="5">
        <f t="shared" si="26"/>
        <v>1.8431648749822123</v>
      </c>
    </row>
    <row r="95" spans="1:28" s="5" customFormat="1" ht="14" x14ac:dyDescent="0.15">
      <c r="A95" s="5">
        <v>110</v>
      </c>
      <c r="B95" s="5">
        <v>2700</v>
      </c>
      <c r="C95" s="5">
        <f t="shared" si="16"/>
        <v>3.1415926535897927</v>
      </c>
      <c r="D95" s="7">
        <v>0.18063362011366585</v>
      </c>
      <c r="E95" s="7">
        <v>0.64152922066622342</v>
      </c>
      <c r="F95" s="7">
        <v>0.1194575546923141</v>
      </c>
      <c r="G95" s="7">
        <v>1.8811148537659566E-4</v>
      </c>
      <c r="H95" s="6">
        <v>0.61973919589172166</v>
      </c>
      <c r="I95" s="8">
        <f t="shared" si="17"/>
        <v>9.1743998189040138E-2</v>
      </c>
      <c r="J95" s="8">
        <f t="shared" si="18"/>
        <v>0.32583333945243537</v>
      </c>
      <c r="K95" s="8">
        <f t="shared" si="19"/>
        <v>0.41757733764147553</v>
      </c>
      <c r="L95" s="8">
        <f t="shared" si="20"/>
        <v>8.3515467528295112E-2</v>
      </c>
      <c r="M95" s="11">
        <f t="shared" si="21"/>
        <v>0.63292056030013888</v>
      </c>
      <c r="N95" s="11">
        <f>ATAN($M95+$F95-$D95*SIN($H95))</f>
        <v>0.57458895118464881</v>
      </c>
      <c r="O95" s="5">
        <f>($D95*$C95*COS($H95))+($D95*C95*($F95+$D95*COS($H95))*SIN($H95))/(SQRT($E95^2-($F95+$D95*COS($H95)^2)))</f>
        <v>0.67349240718010117</v>
      </c>
      <c r="P95" s="5">
        <f>(-$D95*$C95^2*SIN($H95))+(-$D95*$C95^2*($F95+$D95*COS($H95))*COS($H95)+$D95^2*C95^2*(SIN($H95))^2)/SQRT($E95^2-($F95+$D95*COS($H95))^2)+($D95^2*C95^2*($F95+$D95*COS($H95))^2*(SIN($H95))^2)/($E95^2-($F95+$D95*COS($H95))^2)^3/2</f>
        <v>-1.4143768562018697</v>
      </c>
      <c r="Q95" s="5">
        <f t="shared" si="22"/>
        <v>109.88187765559309</v>
      </c>
      <c r="R95" s="12">
        <f t="shared" si="23"/>
        <v>-0.11812234440689938</v>
      </c>
      <c r="S95" s="12">
        <f t="shared" si="24"/>
        <v>109.76375531118619</v>
      </c>
      <c r="T95" s="12">
        <f>($R95+$A95)/COS($N95)</f>
        <v>130.90280292248192</v>
      </c>
      <c r="U95" s="12">
        <f t="shared" si="27"/>
        <v>-0.13314240144707964</v>
      </c>
      <c r="V95" s="12">
        <f t="shared" si="28"/>
        <v>-9.4999147545379511E-2</v>
      </c>
      <c r="W95" s="12">
        <f t="shared" si="29"/>
        <v>121.73553110212679</v>
      </c>
      <c r="X95" s="12">
        <f>$I95*(C95^2)*$D95</f>
        <v>0.16355958271359128</v>
      </c>
      <c r="Y95" s="5">
        <f>$W95*$D95</f>
        <v>21.989529679436924</v>
      </c>
      <c r="Z95" s="5">
        <f>$Y95*C95</f>
        <v>69.082144896813745</v>
      </c>
      <c r="AA95" s="13">
        <f t="shared" si="25"/>
        <v>0.72258401170633835</v>
      </c>
      <c r="AB95" s="5">
        <f t="shared" si="26"/>
        <v>2.7037809964617092</v>
      </c>
    </row>
    <row r="96" spans="1:28" s="5" customFormat="1" ht="14" x14ac:dyDescent="0.15">
      <c r="A96" s="5">
        <v>110</v>
      </c>
      <c r="B96" s="5">
        <v>2700</v>
      </c>
      <c r="C96" s="5">
        <f t="shared" si="16"/>
        <v>3.1415926535897927</v>
      </c>
      <c r="D96" s="7">
        <v>0.11595025123442039</v>
      </c>
      <c r="E96" s="7">
        <v>0.52610346219644022</v>
      </c>
      <c r="F96" s="7">
        <v>9.0487591779375182E-2</v>
      </c>
      <c r="G96" s="7">
        <v>1.139860828578561E-4</v>
      </c>
      <c r="H96" s="6">
        <v>1.5404840427041906</v>
      </c>
      <c r="I96" s="8">
        <f t="shared" si="17"/>
        <v>3.5685130350408857E-2</v>
      </c>
      <c r="J96" s="8">
        <f t="shared" si="18"/>
        <v>0.16191487665106669</v>
      </c>
      <c r="K96" s="8">
        <f t="shared" si="19"/>
        <v>0.19760000700147554</v>
      </c>
      <c r="L96" s="8">
        <f t="shared" si="20"/>
        <v>3.9520001400295109E-2</v>
      </c>
      <c r="M96" s="11">
        <f t="shared" si="21"/>
        <v>0.64642377911266835</v>
      </c>
      <c r="N96" s="11">
        <f>ATAN($M96+$F96-$D96*SIN($H96))</f>
        <v>0.55572811995019833</v>
      </c>
      <c r="O96" s="5">
        <f>($D96*$C96*COS($H96))+($D96*C96*($F96+$D96*COS($H96))*SIN($H96))/(SQRT($E96^2-($F96+$D96*COS($H96)^2)))</f>
        <v>9.0359439723897747E-2</v>
      </c>
      <c r="P96" s="5">
        <f>(-$D96*$C96^2*SIN($H96))+(-$D96*$C96^2*($F96+$D96*COS($H96))*COS($H96)+$D96^2*C96^2*(SIN($H96))^2)/SQRT($E96^2-($F96+$D96*COS($H96))^2)+($D96^2*C96^2*($F96+$D96*COS($H96))^2*(SIN($H96))^2)/($E96^2-($F96+$D96*COS($H96))^2)^3/2</f>
        <v>-0.86360456033596578</v>
      </c>
      <c r="Q96" s="5">
        <f t="shared" si="22"/>
        <v>109.96587034656623</v>
      </c>
      <c r="R96" s="12">
        <f t="shared" si="23"/>
        <v>-3.4129653433778606E-2</v>
      </c>
      <c r="S96" s="12">
        <f t="shared" si="24"/>
        <v>109.93174069313245</v>
      </c>
      <c r="T96" s="12">
        <f>($R96+$A96)/COS($N96)</f>
        <v>129.44523802224248</v>
      </c>
      <c r="U96" s="12">
        <f t="shared" si="27"/>
        <v>-1.2376871440116992E-3</v>
      </c>
      <c r="V96" s="12">
        <f t="shared" si="28"/>
        <v>-4.081870044862522E-2</v>
      </c>
      <c r="W96" s="12">
        <f t="shared" si="29"/>
        <v>111.985074626485</v>
      </c>
      <c r="X96" s="12">
        <f>$I96*(C96^2)*$D96</f>
        <v>4.083746044725417E-2</v>
      </c>
      <c r="Y96" s="5">
        <f>$W96*$D96</f>
        <v>12.984697537446252</v>
      </c>
      <c r="Z96" s="5">
        <f>$Y96*C96</f>
        <v>40.792630392726615</v>
      </c>
      <c r="AA96" s="13">
        <f t="shared" si="25"/>
        <v>0.89530549165805595</v>
      </c>
      <c r="AB96" s="5">
        <f t="shared" si="26"/>
        <v>3.6508294268024688</v>
      </c>
    </row>
    <row r="97" spans="1:28" s="5" customFormat="1" ht="14" x14ac:dyDescent="0.15">
      <c r="A97" s="5">
        <v>110</v>
      </c>
      <c r="B97" s="5">
        <v>2700</v>
      </c>
      <c r="C97" s="5">
        <f t="shared" si="16"/>
        <v>3.1415926535897927</v>
      </c>
      <c r="D97" s="7">
        <v>7.9228465950827956E-2</v>
      </c>
      <c r="E97" s="7">
        <v>0.41755844084852678</v>
      </c>
      <c r="F97" s="7">
        <v>5.8111045645891306E-2</v>
      </c>
      <c r="G97" s="7">
        <v>4.7576189111350037E-4</v>
      </c>
      <c r="H97" s="6">
        <v>1.4525780036592399</v>
      </c>
      <c r="I97" s="8">
        <f t="shared" si="17"/>
        <v>0.10177348893512621</v>
      </c>
      <c r="J97" s="8">
        <f t="shared" si="18"/>
        <v>0.53637766236494944</v>
      </c>
      <c r="K97" s="8">
        <f t="shared" si="19"/>
        <v>0.6381511513000756</v>
      </c>
      <c r="L97" s="8">
        <f t="shared" si="20"/>
        <v>0.12763023026001513</v>
      </c>
      <c r="M97" s="11">
        <f t="shared" si="21"/>
        <v>0.48902592663568467</v>
      </c>
      <c r="N97" s="11">
        <f>ATAN($M97+$F97-$D97*SIN($H97))</f>
        <v>0.43809999981368236</v>
      </c>
      <c r="O97" s="5">
        <f>($D97*$C97*COS($H97))+($D97*C97*($F97+$D97*COS($H97))*SIN($H97))/(SQRT($E97^2-($F97+$D97*COS($H97)^2)))</f>
        <v>7.84913584119908E-2</v>
      </c>
      <c r="P97" s="5">
        <f>(-$D97*$C97^2*SIN($H97))+(-$D97*$C97^2*($F97+$D97*COS($H97))*COS($H97)+$D97^2*C97^2*(SIN($H97))^2)/SQRT($E97^2-($F97+$D97*COS($H97))^2)+($D97^2*C97^2*($F97+$D97*COS($H97))^2*(SIN($H97))^2)/($E97^2-($F97+$D97*COS($H97))^2)^3/2</f>
        <v>-0.61495211859054688</v>
      </c>
      <c r="Q97" s="5">
        <f t="shared" si="22"/>
        <v>109.92151351950541</v>
      </c>
      <c r="R97" s="12">
        <f t="shared" si="23"/>
        <v>-7.8486480494595626E-2</v>
      </c>
      <c r="S97" s="12">
        <f t="shared" si="24"/>
        <v>109.84302703901082</v>
      </c>
      <c r="T97" s="12">
        <f>($R97+$A97)/COS($N97)</f>
        <v>121.38521655377185</v>
      </c>
      <c r="U97" s="12">
        <f t="shared" si="27"/>
        <v>-9.3861695063752453E-3</v>
      </c>
      <c r="V97" s="12">
        <f t="shared" si="28"/>
        <v>-7.9026692048703592E-2</v>
      </c>
      <c r="W97" s="12">
        <f t="shared" si="29"/>
        <v>115.22766400363969</v>
      </c>
      <c r="X97" s="12">
        <f>$I97*(C97^2)*$D97</f>
        <v>7.9582147710168263E-2</v>
      </c>
      <c r="Y97" s="5">
        <f>$W97*$D97</f>
        <v>9.1293110541058109</v>
      </c>
      <c r="Z97" s="5">
        <f>$Y97*C97</f>
        <v>28.680576539914902</v>
      </c>
      <c r="AA97" s="13">
        <f t="shared" si="25"/>
        <v>0.82340081313085867</v>
      </c>
      <c r="AB97" s="5">
        <f t="shared" si="26"/>
        <v>3.2033870904421455</v>
      </c>
    </row>
    <row r="98" spans="1:28" s="5" customFormat="1" ht="14" x14ac:dyDescent="0.15">
      <c r="A98" s="5">
        <v>110</v>
      </c>
      <c r="B98" s="5">
        <v>2700</v>
      </c>
      <c r="C98" s="5">
        <f t="shared" si="16"/>
        <v>3.1415926535897927</v>
      </c>
      <c r="D98" s="7">
        <v>0.19234282328230784</v>
      </c>
      <c r="E98" s="7">
        <v>0.73799130860215767</v>
      </c>
      <c r="F98" s="7">
        <v>9.9401074622469027E-2</v>
      </c>
      <c r="G98" s="7">
        <v>4.766728064290477E-4</v>
      </c>
      <c r="H98" s="6">
        <v>1.2515736994430331</v>
      </c>
      <c r="I98" s="8">
        <f t="shared" si="17"/>
        <v>0.24754840210025295</v>
      </c>
      <c r="J98" s="8">
        <f t="shared" si="18"/>
        <v>0.9498070481174169</v>
      </c>
      <c r="K98" s="8">
        <f t="shared" si="19"/>
        <v>1.1973554502176698</v>
      </c>
      <c r="L98" s="8">
        <f t="shared" si="20"/>
        <v>0.23947109004353395</v>
      </c>
      <c r="M98" s="11">
        <f t="shared" si="21"/>
        <v>0.88558297733889635</v>
      </c>
      <c r="N98" s="11">
        <f>ATAN($M98+$F98-$D98*SIN($H98))</f>
        <v>0.67617736929958172</v>
      </c>
      <c r="O98" s="5">
        <f>($D98*$C98*COS($H98))+($D98*C98*($F98+$D98*COS($H98))*SIN($H98))/(SQRT($E98^2-($F98+$D98*COS($H98)^2)))</f>
        <v>0.33002581514297613</v>
      </c>
      <c r="P98" s="5">
        <f>(-$D98*$C98^2*SIN($H98))+(-$D98*$C98^2*($F98+$D98*COS($H98))*COS($H98)+$D98^2*C98^2*(SIN($H98))^2)/SQRT($E98^2-($F98+$D98*COS($H98))^2)+($D98^2*C98^2*($F98+$D98*COS($H98))^2*(SIN($H98))^2)/($E98^2-($F98+$D98*COS($H98))^2)^3/2</f>
        <v>-1.4476431958408027</v>
      </c>
      <c r="Q98" s="5">
        <f t="shared" si="22"/>
        <v>109.65333130589789</v>
      </c>
      <c r="R98" s="12">
        <f t="shared" si="23"/>
        <v>-0.3466686941021021</v>
      </c>
      <c r="S98" s="12">
        <f t="shared" si="24"/>
        <v>109.30666261179579</v>
      </c>
      <c r="T98" s="12">
        <f>($R98+$A98)/COS($N98)</f>
        <v>140.5864794425448</v>
      </c>
      <c r="U98" s="12">
        <f t="shared" si="27"/>
        <v>-0.14747836620324109</v>
      </c>
      <c r="V98" s="12">
        <f t="shared" si="28"/>
        <v>-0.44619174167515374</v>
      </c>
      <c r="W98" s="12">
        <f t="shared" si="29"/>
        <v>131.72464563311544</v>
      </c>
      <c r="X98" s="12">
        <f>$I98*(C98^2)*$D98</f>
        <v>0.46993290886794087</v>
      </c>
      <c r="Y98" s="5">
        <f>$W98*$D98</f>
        <v>25.336290236934946</v>
      </c>
      <c r="Z98" s="5">
        <f>$Y98*C98</f>
        <v>79.596303277573611</v>
      </c>
      <c r="AA98" s="13">
        <f t="shared" si="25"/>
        <v>0.54309855881664704</v>
      </c>
      <c r="AB98" s="5">
        <f t="shared" si="26"/>
        <v>2.0569227174348428</v>
      </c>
    </row>
    <row r="99" spans="1:28" s="5" customFormat="1" ht="14" x14ac:dyDescent="0.15">
      <c r="A99" s="5">
        <v>110</v>
      </c>
      <c r="B99" s="5">
        <v>2700</v>
      </c>
      <c r="C99" s="5">
        <f t="shared" si="16"/>
        <v>3.1415926535897927</v>
      </c>
      <c r="D99" s="7">
        <v>9.1618672009342789E-2</v>
      </c>
      <c r="E99" s="7">
        <v>0.27497160950402533</v>
      </c>
      <c r="F99" s="7">
        <v>6.8725358829951649E-2</v>
      </c>
      <c r="G99" s="7">
        <v>3.7880628985638014E-4</v>
      </c>
      <c r="H99" s="6">
        <v>1.5095791287585105</v>
      </c>
      <c r="I99" s="8">
        <f t="shared" si="17"/>
        <v>9.370546890865486E-2</v>
      </c>
      <c r="J99" s="8">
        <f t="shared" si="18"/>
        <v>0.28123463307255442</v>
      </c>
      <c r="K99" s="8">
        <f t="shared" si="19"/>
        <v>0.37494010198120931</v>
      </c>
      <c r="L99" s="8">
        <f t="shared" si="20"/>
        <v>7.4988020396241861E-2</v>
      </c>
      <c r="M99" s="11">
        <f t="shared" si="21"/>
        <v>0.36481022730791002</v>
      </c>
      <c r="N99" s="11">
        <f>ATAN($M99+$F99-$D99*SIN($H99))</f>
        <v>0.32960943014397653</v>
      </c>
      <c r="O99" s="5">
        <f>($D99*$C99*COS($H99))+($D99*C99*($F99+$D99*COS($H99))*SIN($H99))/(SQRT($E99^2-($F99+$D99*COS($H99)^2)))</f>
        <v>0.28164366437943311</v>
      </c>
      <c r="P99" s="5">
        <f>(-$D99*$C99^2*SIN($H99))+(-$D99*$C99^2*($F99+$D99*COS($H99))*COS($H99)+$D99^2*C99^2*(SIN($H99))^2)/SQRT($E99^2-($F99+$D99*COS($H99))^2)+($D99^2*C99^2*($F99+$D99*COS($H99))^2*(SIN($H99))^2)/($E99^2-($F99+$D99*COS($H99))^2)^3/2</f>
        <v>5.6025356077666233E-2</v>
      </c>
      <c r="Q99" s="5">
        <f t="shared" si="22"/>
        <v>110.00420123054425</v>
      </c>
      <c r="R99" s="12">
        <f t="shared" si="23"/>
        <v>4.2012305442587486E-3</v>
      </c>
      <c r="S99" s="12">
        <f t="shared" si="24"/>
        <v>110.00840246108851</v>
      </c>
      <c r="T99" s="12">
        <f>($R99+$A99)/COS($N99)</f>
        <v>116.26276137650044</v>
      </c>
      <c r="U99" s="12">
        <f t="shared" si="27"/>
        <v>-5.183830988600307E-3</v>
      </c>
      <c r="V99" s="12">
        <f t="shared" si="28"/>
        <v>-8.4573518374764567E-2</v>
      </c>
      <c r="W99" s="12">
        <f t="shared" si="29"/>
        <v>112.1003792864805</v>
      </c>
      <c r="X99" s="12">
        <f>$I99*(C99^2)*$D99</f>
        <v>8.4732237749306563E-2</v>
      </c>
      <c r="Y99" s="5">
        <f>$W99*$D99</f>
        <v>10.270487881970981</v>
      </c>
      <c r="Z99" s="5">
        <f>$Y99*C99</f>
        <v>32.265689278783022</v>
      </c>
      <c r="AA99" s="13">
        <f t="shared" si="25"/>
        <v>0.84824947203619949</v>
      </c>
      <c r="AB99" s="5">
        <f t="shared" si="26"/>
        <v>3.3479431581484977</v>
      </c>
    </row>
    <row r="100" spans="1:28" s="5" customFormat="1" ht="14" x14ac:dyDescent="0.15">
      <c r="A100" s="5">
        <v>110</v>
      </c>
      <c r="B100" s="5">
        <v>2700</v>
      </c>
      <c r="C100" s="5">
        <f t="shared" si="16"/>
        <v>3.1415926535897927</v>
      </c>
      <c r="D100" s="7">
        <v>0.14590952774841662</v>
      </c>
      <c r="E100" s="7">
        <v>0.64807060050269816</v>
      </c>
      <c r="F100" s="7">
        <v>0.13870030399520122</v>
      </c>
      <c r="G100" s="7">
        <v>1.2526392717187478E-4</v>
      </c>
      <c r="H100" s="6">
        <v>0.16990092034183846</v>
      </c>
      <c r="I100" s="8">
        <f t="shared" si="17"/>
        <v>4.9348441235412814E-2</v>
      </c>
      <c r="J100" s="8">
        <f t="shared" si="18"/>
        <v>0.2191856449597285</v>
      </c>
      <c r="K100" s="8">
        <f t="shared" si="19"/>
        <v>0.2685340861951413</v>
      </c>
      <c r="L100" s="8">
        <f t="shared" si="20"/>
        <v>5.3706817239028259E-2</v>
      </c>
      <c r="M100" s="11">
        <f t="shared" si="21"/>
        <v>0.56820085085400363</v>
      </c>
      <c r="N100" s="11">
        <f>ATAN($M100+$F100-$D100*SIN($H100))</f>
        <v>0.59870002702942504</v>
      </c>
      <c r="O100" s="5">
        <f>($D100*$C100*COS($H100))+($D100*C100*($F100+$D100*COS($H100))*SIN($H100))/(SQRT($E100^2-($F100+$D100*COS($H100)^2)))</f>
        <v>0.51040121041467224</v>
      </c>
      <c r="P100" s="5">
        <f>(-$D100*$C100^2*SIN($H100))+(-$D100*$C100^2*($F100+$D100*COS($H100))*COS($H100)+$D100^2*C100^2*(SIN($H100))^2)/SQRT($E100^2-($F100+$D100*COS($H100))^2)+($D100^2*C100^2*($F100+$D100*COS($H100))^2*(SIN($H100))^2)/($E100^2-($F100+$D100*COS($H100))^2)^3/2</f>
        <v>-0.9145845878905734</v>
      </c>
      <c r="Q100" s="5">
        <f t="shared" si="22"/>
        <v>109.95088057268853</v>
      </c>
      <c r="R100" s="12">
        <f t="shared" si="23"/>
        <v>-4.9119427311471002E-2</v>
      </c>
      <c r="S100" s="12">
        <f t="shared" si="24"/>
        <v>109.90176114537707</v>
      </c>
      <c r="T100" s="12">
        <f>($R100+$A100)/COS($N100)</f>
        <v>133.10133768634074</v>
      </c>
      <c r="U100" s="12">
        <f t="shared" si="27"/>
        <v>-7.0041945886638021E-2</v>
      </c>
      <c r="V100" s="12">
        <f t="shared" si="28"/>
        <v>-1.2016033752346209E-2</v>
      </c>
      <c r="W100" s="12">
        <f t="shared" si="29"/>
        <v>92.522754542265574</v>
      </c>
      <c r="X100" s="12">
        <f>$I100*(C100^2)*$D100</f>
        <v>7.1065176076079997E-2</v>
      </c>
      <c r="Y100" s="5">
        <f>$W100*$D100</f>
        <v>13.499951421244639</v>
      </c>
      <c r="Z100" s="5">
        <f>$Y100*C100</f>
        <v>42.411348208801236</v>
      </c>
      <c r="AA100" s="13">
        <f t="shared" si="25"/>
        <v>1.2551345384086015</v>
      </c>
      <c r="AB100" s="5">
        <f t="shared" si="26"/>
        <v>8.9524008580513676</v>
      </c>
    </row>
    <row r="101" spans="1:28" s="5" customFormat="1" ht="14" x14ac:dyDescent="0.15">
      <c r="A101" s="5">
        <v>110</v>
      </c>
      <c r="B101" s="5">
        <v>2700</v>
      </c>
      <c r="C101" s="5">
        <f t="shared" si="16"/>
        <v>3.1415926535897927</v>
      </c>
      <c r="D101" s="7">
        <v>0.19408776404326772</v>
      </c>
      <c r="E101" s="7">
        <v>0.43614429074319794</v>
      </c>
      <c r="F101" s="7">
        <v>0.1433177575266357</v>
      </c>
      <c r="G101" s="7">
        <v>3.1367768913335476E-4</v>
      </c>
      <c r="H101" s="6">
        <v>1.6608093397921733</v>
      </c>
      <c r="I101" s="8">
        <f t="shared" si="17"/>
        <v>0.16437870354821052</v>
      </c>
      <c r="J101" s="8">
        <f t="shared" si="18"/>
        <v>0.36938357977238728</v>
      </c>
      <c r="K101" s="8">
        <f t="shared" si="19"/>
        <v>0.53376228332059783</v>
      </c>
      <c r="L101" s="8">
        <f t="shared" si="20"/>
        <v>0.10675245666411957</v>
      </c>
      <c r="M101" s="11">
        <f t="shared" si="21"/>
        <v>0.67101391689913292</v>
      </c>
      <c r="N101" s="11">
        <f>ATAN($M101+$F101-$D101*SIN($H101))</f>
        <v>0.55573914515232015</v>
      </c>
      <c r="O101" s="5">
        <f>($D101*$C101*COS($H101))+($D101*C101*($F101+$D101*COS($H101))*SIN($H101))/(SQRT($E101^2-($F101+$D101*COS($H101)^2)))</f>
        <v>0.30418642619145575</v>
      </c>
      <c r="P101" s="5">
        <f>(-$D101*$C101^2*SIN($H101))+(-$D101*$C101^2*($F101+$D101*COS($H101))*COS($H101)+$D101^2*C101^2*(SIN($H101))^2)/SQRT($E101^2-($F101+$D101*COS($H101))^2)+($D101^2*C101^2*($F101+$D101*COS($H101))^2*(SIN($H101))^2)/($E101^2-($F101+$D101*COS($H101))^2)^3/2</f>
        <v>-0.42182354821194379</v>
      </c>
      <c r="Q101" s="5">
        <f t="shared" si="22"/>
        <v>109.9549692999496</v>
      </c>
      <c r="R101" s="12">
        <f t="shared" si="23"/>
        <v>-4.5030700050400684E-2</v>
      </c>
      <c r="S101" s="12">
        <f t="shared" si="24"/>
        <v>109.90993859989919</v>
      </c>
      <c r="T101" s="12">
        <f>($R101+$A101)/COS($N101)</f>
        <v>129.43329217581106</v>
      </c>
      <c r="U101" s="12">
        <f t="shared" si="27"/>
        <v>2.8304932695789348E-2</v>
      </c>
      <c r="V101" s="12">
        <f t="shared" si="28"/>
        <v>-0.31360405581015427</v>
      </c>
      <c r="W101" s="12">
        <f t="shared" si="29"/>
        <v>103.3715551040233</v>
      </c>
      <c r="X101" s="12">
        <f>$I101*(C101^2)*$D101</f>
        <v>0.31487882278027451</v>
      </c>
      <c r="Y101" s="5">
        <f>$W101*$D101</f>
        <v>20.06315399581532</v>
      </c>
      <c r="Z101" s="5">
        <f>$Y101*C101</f>
        <v>63.030257201094102</v>
      </c>
      <c r="AA101" s="13">
        <f t="shared" si="25"/>
        <v>0.83072027147015515</v>
      </c>
      <c r="AB101" s="5">
        <f t="shared" si="26"/>
        <v>3.2449591916756164</v>
      </c>
    </row>
    <row r="103" spans="1:28" x14ac:dyDescent="0.2">
      <c r="Z103" s="5"/>
    </row>
    <row r="111" spans="1:28" x14ac:dyDescent="0.2">
      <c r="D111" s="7"/>
      <c r="E111" s="7"/>
      <c r="F111" s="7"/>
      <c r="G111" s="7"/>
    </row>
  </sheetData>
  <sortState xmlns:xlrd2="http://schemas.microsoft.com/office/spreadsheetml/2017/richdata2" ref="C2:D101">
    <sortCondition ref="D2:D101"/>
  </sortState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5F16D-1ED6-EF4C-9EFB-F3F95EEB1154}">
  <dimension ref="B5:J366"/>
  <sheetViews>
    <sheetView zoomScale="91" workbookViewId="0">
      <selection activeCell="L24" sqref="L24"/>
    </sheetView>
  </sheetViews>
  <sheetFormatPr baseColWidth="10" defaultRowHeight="16" x14ac:dyDescent="0.2"/>
  <cols>
    <col min="10" max="10" width="16" customWidth="1"/>
  </cols>
  <sheetData>
    <row r="5" spans="2:10" ht="34" x14ac:dyDescent="0.2">
      <c r="B5" s="3" t="s">
        <v>4</v>
      </c>
      <c r="C5" s="3" t="s">
        <v>5</v>
      </c>
      <c r="D5" s="3" t="s">
        <v>0</v>
      </c>
      <c r="E5" s="3" t="s">
        <v>1</v>
      </c>
      <c r="F5" s="3" t="s">
        <v>3</v>
      </c>
      <c r="G5" s="3" t="s">
        <v>2</v>
      </c>
      <c r="H5" s="3" t="s">
        <v>6</v>
      </c>
      <c r="I5" s="4" t="s">
        <v>7</v>
      </c>
      <c r="J5" s="4" t="s">
        <v>8</v>
      </c>
    </row>
    <row r="6" spans="2:10" x14ac:dyDescent="0.2">
      <c r="B6" s="1">
        <v>0</v>
      </c>
      <c r="C6" s="1">
        <f>(B6*PI())/180</f>
        <v>0</v>
      </c>
      <c r="D6">
        <f>Geometry!D2</f>
        <v>0.15945528497463496</v>
      </c>
      <c r="E6">
        <f>Geometry!E2</f>
        <v>0.62184287863007071</v>
      </c>
      <c r="F6">
        <f>Geometry!F2</f>
        <v>5.1221836011997979E-2</v>
      </c>
      <c r="G6" s="2">
        <f>Geometry!G2</f>
        <v>3.4276701943697824E-4</v>
      </c>
      <c r="H6">
        <f>(2*PI()*30)/60</f>
        <v>3.1415926535897927</v>
      </c>
      <c r="I6">
        <f>$D6*$H$6*SIN($C6)+($D6^2*$H$6*SIN(2*$C6)/(2*$E6))</f>
        <v>0</v>
      </c>
      <c r="J6">
        <f>($D6)*(H6^2)*(COS($C6))+(($D6^2)*(H6^2)*COS(2*$C6))/$E6</f>
        <v>1.9773101778734814</v>
      </c>
    </row>
    <row r="7" spans="2:10" x14ac:dyDescent="0.2">
      <c r="B7" s="1">
        <v>5</v>
      </c>
      <c r="C7" s="1">
        <f t="shared" ref="C7:C70" si="0">(B7*PI())/180</f>
        <v>8.7266462599716474E-2</v>
      </c>
      <c r="D7">
        <f>Geometry!D3</f>
        <v>0.11711133052761859</v>
      </c>
      <c r="E7">
        <f>Geometry!E3</f>
        <v>0.69968302349985634</v>
      </c>
      <c r="F7">
        <f>Geometry!F3</f>
        <v>0.10116627667860333</v>
      </c>
      <c r="G7" s="2">
        <f>Geometry!G3</f>
        <v>4.3277098956565177E-4</v>
      </c>
      <c r="H7">
        <f t="shared" ref="H7:H70" si="1">(2*PI()*30)/60</f>
        <v>3.1415926535897927</v>
      </c>
      <c r="I7">
        <f t="shared" ref="I7:I70" si="2">$D7*$H$6*SIN($C7)+($D7^2*$H$6*SIN(2*$C7)/(2*$E7))</f>
        <v>3.7412710233593563E-2</v>
      </c>
      <c r="J7">
        <f t="shared" ref="J7:J70" si="3">($D7)*(H7^2)*(COS($C7))+(($D7^2)*(H7^2)*COS(2*$C7))/$E7</f>
        <v>1.341967299218267</v>
      </c>
    </row>
    <row r="8" spans="2:10" x14ac:dyDescent="0.2">
      <c r="B8" s="1">
        <v>10</v>
      </c>
      <c r="C8" s="1">
        <f t="shared" si="0"/>
        <v>0.17453292519943295</v>
      </c>
      <c r="D8">
        <f>Geometry!D4</f>
        <v>0.14054619238291505</v>
      </c>
      <c r="E8">
        <f>Geometry!E4</f>
        <v>0.62966222900890778</v>
      </c>
      <c r="F8">
        <f>Geometry!F4</f>
        <v>5.0861790892954742E-2</v>
      </c>
      <c r="G8" s="2">
        <f>Geometry!G4</f>
        <v>4.9497578723688661E-4</v>
      </c>
      <c r="H8">
        <f t="shared" si="1"/>
        <v>3.1415926535897927</v>
      </c>
      <c r="I8">
        <f t="shared" si="2"/>
        <v>9.3526387844154651E-2</v>
      </c>
      <c r="J8">
        <f t="shared" si="3"/>
        <v>1.6570100935133816</v>
      </c>
    </row>
    <row r="9" spans="2:10" x14ac:dyDescent="0.2">
      <c r="B9" s="1">
        <v>15</v>
      </c>
      <c r="C9" s="1">
        <f t="shared" si="0"/>
        <v>0.26179938779914941</v>
      </c>
      <c r="D9">
        <f>Geometry!D5</f>
        <v>0.15734300691542832</v>
      </c>
      <c r="E9">
        <f>Geometry!E5</f>
        <v>0.79099363656320154</v>
      </c>
      <c r="F9">
        <f>Geometry!F5</f>
        <v>8.8770453353402196E-2</v>
      </c>
      <c r="G9" s="2">
        <f>Geometry!G5</f>
        <v>2.0359828638312998E-4</v>
      </c>
      <c r="H9">
        <f t="shared" si="1"/>
        <v>3.1415926535897927</v>
      </c>
      <c r="I9">
        <f t="shared" si="2"/>
        <v>0.15251792254175225</v>
      </c>
      <c r="J9">
        <f t="shared" si="3"/>
        <v>1.7675165483080573</v>
      </c>
    </row>
    <row r="10" spans="2:10" x14ac:dyDescent="0.2">
      <c r="B10" s="1">
        <v>20</v>
      </c>
      <c r="C10" s="1">
        <f t="shared" si="0"/>
        <v>0.3490658503988659</v>
      </c>
      <c r="D10">
        <f>Geometry!D6</f>
        <v>5.8318095007217421E-2</v>
      </c>
      <c r="E10">
        <f>Geometry!E6</f>
        <v>0.62110324976213527</v>
      </c>
      <c r="F10">
        <f>Geometry!F6</f>
        <v>5.2712741565032056E-2</v>
      </c>
      <c r="G10" s="2">
        <f>Geometry!G6</f>
        <v>1.0684543940531796E-4</v>
      </c>
      <c r="H10">
        <f t="shared" si="1"/>
        <v>3.1415926535897927</v>
      </c>
      <c r="I10">
        <f t="shared" si="2"/>
        <v>6.8190883228275337E-2</v>
      </c>
      <c r="J10">
        <f t="shared" si="3"/>
        <v>0.58226465562604224</v>
      </c>
    </row>
    <row r="11" spans="2:10" x14ac:dyDescent="0.2">
      <c r="B11" s="1">
        <v>25</v>
      </c>
      <c r="C11" s="1">
        <f t="shared" si="0"/>
        <v>0.43633231299858238</v>
      </c>
      <c r="D11">
        <f>Geometry!D7</f>
        <v>0.13203986461790204</v>
      </c>
      <c r="E11">
        <f>Geometry!E7</f>
        <v>0.59063496360537304</v>
      </c>
      <c r="F11">
        <f>Geometry!F7</f>
        <v>0.11131355049714209</v>
      </c>
      <c r="G11" s="2">
        <f>Geometry!G7</f>
        <v>3.8991529182668311E-4</v>
      </c>
      <c r="H11">
        <f t="shared" si="1"/>
        <v>3.1415926535897927</v>
      </c>
      <c r="I11">
        <f t="shared" si="2"/>
        <v>0.21082792779483908</v>
      </c>
      <c r="J11">
        <f t="shared" si="3"/>
        <v>1.36834899244116</v>
      </c>
    </row>
    <row r="12" spans="2:10" x14ac:dyDescent="0.2">
      <c r="B12" s="1">
        <v>30</v>
      </c>
      <c r="C12" s="1">
        <f t="shared" si="0"/>
        <v>0.52359877559829882</v>
      </c>
      <c r="D12">
        <f>Geometry!D8</f>
        <v>0.17835133445468077</v>
      </c>
      <c r="E12">
        <f>Geometry!E8</f>
        <v>0.62429667292634428</v>
      </c>
      <c r="F12">
        <f>Geometry!F8</f>
        <v>6.9827063394931582E-2</v>
      </c>
      <c r="G12" s="2">
        <f>Geometry!G8</f>
        <v>1.4238432164069269E-4</v>
      </c>
      <c r="H12">
        <f t="shared" si="1"/>
        <v>3.1415926535897927</v>
      </c>
      <c r="I12">
        <f t="shared" si="2"/>
        <v>0.34946622495294671</v>
      </c>
      <c r="J12">
        <f t="shared" si="3"/>
        <v>1.77586569301293</v>
      </c>
    </row>
    <row r="13" spans="2:10" x14ac:dyDescent="0.2">
      <c r="B13" s="1">
        <v>35</v>
      </c>
      <c r="C13" s="1">
        <f t="shared" si="0"/>
        <v>0.6108652381980153</v>
      </c>
      <c r="D13">
        <f>Geometry!D9</f>
        <v>0.13769001186239649</v>
      </c>
      <c r="E13">
        <f>Geometry!E9</f>
        <v>0.66157641268465328</v>
      </c>
      <c r="F13">
        <f>Geometry!F9</f>
        <v>0.11040347046249416</v>
      </c>
      <c r="G13" s="2">
        <f>Geometry!G9</f>
        <v>2.2737641056626886E-4</v>
      </c>
      <c r="H13">
        <f t="shared" si="1"/>
        <v>3.1415926535897927</v>
      </c>
      <c r="I13">
        <f t="shared" si="2"/>
        <v>0.29040866879175736</v>
      </c>
      <c r="J13">
        <f t="shared" si="3"/>
        <v>1.2099167148012682</v>
      </c>
    </row>
    <row r="14" spans="2:10" x14ac:dyDescent="0.2">
      <c r="B14" s="1">
        <v>40</v>
      </c>
      <c r="C14" s="1">
        <f t="shared" si="0"/>
        <v>0.69813170079773179</v>
      </c>
      <c r="D14">
        <f>Geometry!D10</f>
        <v>8.2545992088490505E-2</v>
      </c>
      <c r="E14">
        <f>Geometry!E10</f>
        <v>0.37558411977834183</v>
      </c>
      <c r="F14">
        <f>Geometry!F10</f>
        <v>5.6052283901143467E-2</v>
      </c>
      <c r="G14" s="2">
        <f>Geometry!G10</f>
        <v>4.654865910453035E-4</v>
      </c>
      <c r="H14">
        <f t="shared" si="1"/>
        <v>3.1415926535897927</v>
      </c>
      <c r="I14">
        <f t="shared" si="2"/>
        <v>0.19475588573970037</v>
      </c>
      <c r="J14">
        <f t="shared" si="3"/>
        <v>0.65518599847827919</v>
      </c>
    </row>
    <row r="15" spans="2:10" x14ac:dyDescent="0.2">
      <c r="B15" s="1">
        <v>45</v>
      </c>
      <c r="C15" s="1">
        <f t="shared" si="0"/>
        <v>0.78539816339744828</v>
      </c>
      <c r="D15">
        <f>Geometry!D11</f>
        <v>8.7055454229173032E-2</v>
      </c>
      <c r="E15">
        <f>Geometry!E11</f>
        <v>0.52416276761019864</v>
      </c>
      <c r="F15">
        <f>Geometry!F11</f>
        <v>8.2342419887317317E-2</v>
      </c>
      <c r="G15" s="2">
        <f>Geometry!G11</f>
        <v>2.0596234826729344E-4</v>
      </c>
      <c r="H15">
        <f t="shared" si="1"/>
        <v>3.1415926535897927</v>
      </c>
      <c r="I15">
        <f t="shared" si="2"/>
        <v>0.2161000888874359</v>
      </c>
      <c r="J15">
        <f t="shared" si="3"/>
        <v>0.60754819290327655</v>
      </c>
    </row>
    <row r="16" spans="2:10" x14ac:dyDescent="0.2">
      <c r="B16" s="1">
        <v>50</v>
      </c>
      <c r="C16" s="1">
        <f t="shared" si="0"/>
        <v>0.87266462599716477</v>
      </c>
      <c r="D16">
        <f>Geometry!D12</f>
        <v>0.1370248895287709</v>
      </c>
      <c r="E16">
        <f>Geometry!E12</f>
        <v>0.49986857707695864</v>
      </c>
      <c r="F16">
        <f>Geometry!F12</f>
        <v>0.10927874876454678</v>
      </c>
      <c r="G16" s="2">
        <f>Geometry!G12</f>
        <v>1.41722560904977E-4</v>
      </c>
      <c r="H16">
        <f t="shared" si="1"/>
        <v>3.1415926535897927</v>
      </c>
      <c r="I16">
        <f t="shared" si="2"/>
        <v>0.38786916602290256</v>
      </c>
      <c r="J16">
        <f t="shared" si="3"/>
        <v>0.80491966132753112</v>
      </c>
    </row>
    <row r="17" spans="2:10" x14ac:dyDescent="0.2">
      <c r="B17" s="1">
        <v>55</v>
      </c>
      <c r="C17" s="1">
        <f t="shared" si="0"/>
        <v>0.95993108859688125</v>
      </c>
      <c r="D17">
        <f>Geometry!D13</f>
        <v>0.14060530252497783</v>
      </c>
      <c r="E17">
        <f>Geometry!E13</f>
        <v>0.53470880572248769</v>
      </c>
      <c r="F17">
        <f>Geometry!F13</f>
        <v>7.2121939306953139E-2</v>
      </c>
      <c r="G17" s="2">
        <f>Geometry!G13</f>
        <v>1.9141155449727194E-4</v>
      </c>
      <c r="H17">
        <f t="shared" si="1"/>
        <v>3.1415926535897927</v>
      </c>
      <c r="I17">
        <f t="shared" si="2"/>
        <v>0.41641434727752952</v>
      </c>
      <c r="J17">
        <f t="shared" si="3"/>
        <v>0.67115617111550474</v>
      </c>
    </row>
    <row r="18" spans="2:10" x14ac:dyDescent="0.2">
      <c r="B18" s="1">
        <v>60</v>
      </c>
      <c r="C18" s="1">
        <f t="shared" si="0"/>
        <v>1.0471975511965976</v>
      </c>
      <c r="D18">
        <f>Geometry!D14</f>
        <v>0.11021886375893231</v>
      </c>
      <c r="E18">
        <f>Geometry!E14</f>
        <v>0.68442949061337832</v>
      </c>
      <c r="F18">
        <f>Geometry!F14</f>
        <v>0.10363774127960189</v>
      </c>
      <c r="G18" s="2">
        <f>Geometry!G14</f>
        <v>4.5605634541608174E-4</v>
      </c>
      <c r="H18">
        <f t="shared" si="1"/>
        <v>3.1415926535897927</v>
      </c>
      <c r="I18">
        <f t="shared" si="2"/>
        <v>0.32401771578564909</v>
      </c>
      <c r="J18">
        <f t="shared" si="3"/>
        <v>0.456318620472072</v>
      </c>
    </row>
    <row r="19" spans="2:10" x14ac:dyDescent="0.2">
      <c r="B19" s="1">
        <v>65</v>
      </c>
      <c r="C19" s="1">
        <f t="shared" si="0"/>
        <v>1.1344640137963142</v>
      </c>
      <c r="D19">
        <f>Geometry!D15</f>
        <v>0.103374505841748</v>
      </c>
      <c r="E19">
        <f>Geometry!E15</f>
        <v>0.55388271725185312</v>
      </c>
      <c r="F19">
        <f>Geometry!F15</f>
        <v>0.10028394294852588</v>
      </c>
      <c r="G19" s="2">
        <f>Geometry!G15</f>
        <v>4.4581929664809289E-4</v>
      </c>
      <c r="H19">
        <f t="shared" si="1"/>
        <v>3.1415926535897927</v>
      </c>
      <c r="I19">
        <f t="shared" si="2"/>
        <v>0.3175488108479162</v>
      </c>
      <c r="J19">
        <f t="shared" si="3"/>
        <v>0.30878425918696195</v>
      </c>
    </row>
    <row r="20" spans="2:10" x14ac:dyDescent="0.2">
      <c r="B20" s="1">
        <v>70</v>
      </c>
      <c r="C20" s="1">
        <f t="shared" si="0"/>
        <v>1.2217304763960306</v>
      </c>
      <c r="D20">
        <f>Geometry!D16</f>
        <v>0.1137454852501002</v>
      </c>
      <c r="E20">
        <f>Geometry!E16</f>
        <v>0.69692173258609191</v>
      </c>
      <c r="F20">
        <f>Geometry!F16</f>
        <v>7.6865881328727181E-2</v>
      </c>
      <c r="G20" s="2">
        <f>Geometry!G16</f>
        <v>1.7207701476484248E-4</v>
      </c>
      <c r="H20">
        <f t="shared" si="1"/>
        <v>3.1415926535897927</v>
      </c>
      <c r="I20">
        <f t="shared" si="2"/>
        <v>0.35453602932661848</v>
      </c>
      <c r="J20">
        <f t="shared" si="3"/>
        <v>0.24360137871662704</v>
      </c>
    </row>
    <row r="21" spans="2:10" x14ac:dyDescent="0.2">
      <c r="B21" s="1">
        <v>75</v>
      </c>
      <c r="C21" s="1">
        <f t="shared" si="0"/>
        <v>1.3089969389957472</v>
      </c>
      <c r="D21">
        <f>Geometry!D17</f>
        <v>7.5575744396577993E-2</v>
      </c>
      <c r="E21">
        <f>Geometry!E17</f>
        <v>0.3895119781460793</v>
      </c>
      <c r="F21">
        <f>Geometry!F17</f>
        <v>7.3159493874985632E-2</v>
      </c>
      <c r="G21" s="2">
        <f>Geometry!G17</f>
        <v>4.8737151474508987E-4</v>
      </c>
      <c r="H21">
        <f t="shared" si="1"/>
        <v>3.1415926535897927</v>
      </c>
      <c r="I21">
        <f t="shared" si="2"/>
        <v>0.24085488938661712</v>
      </c>
      <c r="J21">
        <f t="shared" si="3"/>
        <v>6.771822954977269E-2</v>
      </c>
    </row>
    <row r="22" spans="2:10" x14ac:dyDescent="0.2">
      <c r="B22" s="1">
        <v>80</v>
      </c>
      <c r="C22" s="1">
        <f t="shared" si="0"/>
        <v>1.3962634015954636</v>
      </c>
      <c r="D22">
        <f>Geometry!D18</f>
        <v>0.18710191219554007</v>
      </c>
      <c r="E22">
        <f>Geometry!E18</f>
        <v>0.70724761307653583</v>
      </c>
      <c r="F22">
        <f>Geometry!F18</f>
        <v>0.12314675734913624</v>
      </c>
      <c r="G22" s="2">
        <f>Geometry!G18</f>
        <v>4.3282110267876649E-4</v>
      </c>
      <c r="H22">
        <f t="shared" si="1"/>
        <v>3.1415926535897927</v>
      </c>
      <c r="I22">
        <f t="shared" si="2"/>
        <v>0.60546035861039282</v>
      </c>
      <c r="J22">
        <f t="shared" si="3"/>
        <v>-0.13839861210254656</v>
      </c>
    </row>
    <row r="23" spans="2:10" x14ac:dyDescent="0.2">
      <c r="B23" s="1">
        <v>85</v>
      </c>
      <c r="C23" s="1">
        <f t="shared" si="0"/>
        <v>1.4835298641951802</v>
      </c>
      <c r="D23">
        <f>Geometry!D19</f>
        <v>0.11812626373451977</v>
      </c>
      <c r="E23">
        <f>Geometry!E19</f>
        <v>0.6864453814433269</v>
      </c>
      <c r="F23">
        <f>Geometry!F19</f>
        <v>5.1429174907155234E-2</v>
      </c>
      <c r="G23" s="2">
        <f>Geometry!G19</f>
        <v>3.8667362543718054E-4</v>
      </c>
      <c r="H23">
        <f t="shared" si="1"/>
        <v>3.1415926535897927</v>
      </c>
      <c r="I23">
        <f t="shared" si="2"/>
        <v>0.37523712454867592</v>
      </c>
      <c r="J23">
        <f t="shared" si="3"/>
        <v>-9.5966453225691611E-2</v>
      </c>
    </row>
    <row r="24" spans="2:10" x14ac:dyDescent="0.2">
      <c r="B24" s="1">
        <v>90</v>
      </c>
      <c r="C24" s="1">
        <f t="shared" si="0"/>
        <v>1.5707963267948966</v>
      </c>
      <c r="D24">
        <f>Geometry!D20</f>
        <v>0.17516940869632891</v>
      </c>
      <c r="E24">
        <f>Geometry!E20</f>
        <v>0.60271324291192219</v>
      </c>
      <c r="F24">
        <f>Geometry!F20</f>
        <v>7.0248684091809968E-2</v>
      </c>
      <c r="G24" s="2">
        <f>Geometry!G20</f>
        <v>4.2232501654328219E-4</v>
      </c>
      <c r="H24">
        <f t="shared" si="1"/>
        <v>3.1415926535897927</v>
      </c>
      <c r="I24">
        <f t="shared" si="2"/>
        <v>0.55031092749405486</v>
      </c>
      <c r="J24">
        <f t="shared" si="3"/>
        <v>-0.50246468031169966</v>
      </c>
    </row>
    <row r="25" spans="2:10" x14ac:dyDescent="0.2">
      <c r="B25" s="1">
        <v>95</v>
      </c>
      <c r="C25" s="1">
        <f t="shared" si="0"/>
        <v>1.6580627893946132</v>
      </c>
      <c r="D25">
        <f>Geometry!D21</f>
        <v>0.1277461170270702</v>
      </c>
      <c r="E25">
        <f>Geometry!E21</f>
        <v>0.58793873221023685</v>
      </c>
      <c r="F25">
        <f>Geometry!F21</f>
        <v>6.0783743600080202E-2</v>
      </c>
      <c r="G25" s="2">
        <f>Geometry!G21</f>
        <v>3.1509071574217437E-4</v>
      </c>
      <c r="H25">
        <f t="shared" si="1"/>
        <v>3.1415926535897927</v>
      </c>
      <c r="I25">
        <f t="shared" si="2"/>
        <v>0.39222809159807126</v>
      </c>
      <c r="J25">
        <f t="shared" si="3"/>
        <v>-0.37966925860695</v>
      </c>
    </row>
    <row r="26" spans="2:10" x14ac:dyDescent="0.2">
      <c r="B26" s="1">
        <v>100</v>
      </c>
      <c r="C26" s="1">
        <f t="shared" si="0"/>
        <v>1.7453292519943295</v>
      </c>
      <c r="D26">
        <f>Geometry!D22</f>
        <v>0.12213144416696851</v>
      </c>
      <c r="E26">
        <f>Geometry!E22</f>
        <v>0.6387477816860353</v>
      </c>
      <c r="F26">
        <f>Geometry!F22</f>
        <v>0.11917775300396667</v>
      </c>
      <c r="G26" s="2">
        <f>Geometry!G22</f>
        <v>1.7547912482062175E-4</v>
      </c>
      <c r="H26">
        <f t="shared" si="1"/>
        <v>3.1415926535897927</v>
      </c>
      <c r="I26">
        <f t="shared" si="2"/>
        <v>0.36531241152004823</v>
      </c>
      <c r="J26">
        <f t="shared" si="3"/>
        <v>-0.42589001573743945</v>
      </c>
    </row>
    <row r="27" spans="2:10" x14ac:dyDescent="0.2">
      <c r="B27" s="1">
        <v>105</v>
      </c>
      <c r="C27" s="1">
        <f t="shared" si="0"/>
        <v>1.8325957145940461</v>
      </c>
      <c r="D27">
        <f>Geometry!D23</f>
        <v>0.18793660625394348</v>
      </c>
      <c r="E27">
        <f>Geometry!E23</f>
        <v>0.49497185947375344</v>
      </c>
      <c r="F27">
        <f>Geometry!F23</f>
        <v>5.3884123048499315E-2</v>
      </c>
      <c r="G27" s="2">
        <f>Geometry!G23</f>
        <v>3.0075398529006277E-4</v>
      </c>
      <c r="H27">
        <f t="shared" si="1"/>
        <v>3.1415926535897927</v>
      </c>
      <c r="I27">
        <f t="shared" si="2"/>
        <v>0.51425779076465461</v>
      </c>
      <c r="J27">
        <f t="shared" si="3"/>
        <v>-1.0899927370958615</v>
      </c>
    </row>
    <row r="28" spans="2:10" x14ac:dyDescent="0.2">
      <c r="B28" s="1">
        <v>110</v>
      </c>
      <c r="C28" s="1">
        <f t="shared" si="0"/>
        <v>1.9198621771937625</v>
      </c>
      <c r="D28">
        <f>Geometry!D24</f>
        <v>0.14674025865364412</v>
      </c>
      <c r="E28">
        <f>Geometry!E24</f>
        <v>0.60371070084549416</v>
      </c>
      <c r="F28">
        <f>Geometry!F24</f>
        <v>0.12962270156324046</v>
      </c>
      <c r="G28" s="2">
        <f>Geometry!G24</f>
        <v>2.9467997381880202E-4</v>
      </c>
      <c r="H28">
        <f t="shared" si="1"/>
        <v>3.1415926535897927</v>
      </c>
      <c r="I28">
        <f t="shared" si="2"/>
        <v>0.39718371601304642</v>
      </c>
      <c r="J28">
        <f t="shared" si="3"/>
        <v>-0.76500119717841453</v>
      </c>
    </row>
    <row r="29" spans="2:10" x14ac:dyDescent="0.2">
      <c r="B29" s="1">
        <v>115</v>
      </c>
      <c r="C29" s="1">
        <f t="shared" si="0"/>
        <v>2.0071286397934789</v>
      </c>
      <c r="D29">
        <f>Geometry!D25</f>
        <v>9.5174365442690367E-2</v>
      </c>
      <c r="E29">
        <f>Geometry!E25</f>
        <v>0.42668667185255005</v>
      </c>
      <c r="F29">
        <f>Geometry!F25</f>
        <v>7.6047921027295642E-2</v>
      </c>
      <c r="G29" s="2">
        <f>Geometry!G25</f>
        <v>2.9865797657939214E-4</v>
      </c>
      <c r="H29">
        <f t="shared" si="1"/>
        <v>3.1415926535897927</v>
      </c>
      <c r="I29">
        <f t="shared" si="2"/>
        <v>0.24544026940545019</v>
      </c>
      <c r="J29">
        <f t="shared" si="3"/>
        <v>-0.53165788258959157</v>
      </c>
    </row>
    <row r="30" spans="2:10" x14ac:dyDescent="0.2">
      <c r="B30" s="1">
        <v>120</v>
      </c>
      <c r="C30" s="1">
        <f t="shared" si="0"/>
        <v>2.0943951023931953</v>
      </c>
      <c r="D30">
        <f>Geometry!D26</f>
        <v>0.1468485561730814</v>
      </c>
      <c r="E30">
        <f>Geometry!E26</f>
        <v>0.74734778438112159</v>
      </c>
      <c r="F30">
        <f>Geometry!F26</f>
        <v>0.10007880974008651</v>
      </c>
      <c r="G30" s="2">
        <f>Geometry!G26</f>
        <v>2.2997616157324101E-4</v>
      </c>
      <c r="H30">
        <f t="shared" si="1"/>
        <v>3.1415926535897927</v>
      </c>
      <c r="I30">
        <f t="shared" si="2"/>
        <v>0.36027824509947431</v>
      </c>
      <c r="J30">
        <f t="shared" si="3"/>
        <v>-0.86706083063150019</v>
      </c>
    </row>
    <row r="31" spans="2:10" x14ac:dyDescent="0.2">
      <c r="B31" s="1">
        <v>125</v>
      </c>
      <c r="C31" s="1">
        <f t="shared" si="0"/>
        <v>2.1816615649929116</v>
      </c>
      <c r="D31">
        <f>Geometry!D27</f>
        <v>0.16183309740020579</v>
      </c>
      <c r="E31">
        <f>Geometry!E27</f>
        <v>0.69366925338219776</v>
      </c>
      <c r="F31">
        <f>Geometry!F27</f>
        <v>0.13786011960024808</v>
      </c>
      <c r="G31" s="2">
        <f>Geometry!G27</f>
        <v>1.0327923024711781E-4</v>
      </c>
      <c r="H31">
        <f t="shared" si="1"/>
        <v>3.1415926535897927</v>
      </c>
      <c r="I31">
        <f t="shared" si="2"/>
        <v>0.36073823843254949</v>
      </c>
      <c r="J31">
        <f t="shared" si="3"/>
        <v>-1.0435809089824191</v>
      </c>
    </row>
    <row r="32" spans="2:10" x14ac:dyDescent="0.2">
      <c r="B32" s="1">
        <v>130</v>
      </c>
      <c r="C32" s="1">
        <f t="shared" si="0"/>
        <v>2.2689280275926285</v>
      </c>
      <c r="D32">
        <f>Geometry!D28</f>
        <v>0.1386467209881618</v>
      </c>
      <c r="E32">
        <f>Geometry!E28</f>
        <v>0.72778918664731329</v>
      </c>
      <c r="F32">
        <f>Geometry!F28</f>
        <v>0.11059239265903556</v>
      </c>
      <c r="G32" s="2">
        <f>Geometry!G28</f>
        <v>2.1796983468829728E-4</v>
      </c>
      <c r="H32">
        <f t="shared" si="1"/>
        <v>3.1415926535897927</v>
      </c>
      <c r="I32">
        <f t="shared" si="2"/>
        <v>0.29280840505158956</v>
      </c>
      <c r="J32">
        <f t="shared" si="3"/>
        <v>-0.9248502313931668</v>
      </c>
    </row>
    <row r="33" spans="2:10" x14ac:dyDescent="0.2">
      <c r="B33" s="1">
        <v>135</v>
      </c>
      <c r="C33" s="1">
        <f t="shared" si="0"/>
        <v>2.3561944901923448</v>
      </c>
      <c r="D33">
        <f>Geometry!D29</f>
        <v>0.13178030858879136</v>
      </c>
      <c r="E33">
        <f>Geometry!E29</f>
        <v>0.39995702246195974</v>
      </c>
      <c r="F33">
        <f>Geometry!F29</f>
        <v>0.10520776270451684</v>
      </c>
      <c r="G33" s="2">
        <f>Geometry!G29</f>
        <v>2.5806719949069133E-4</v>
      </c>
      <c r="H33">
        <f t="shared" si="1"/>
        <v>3.1415926535897927</v>
      </c>
      <c r="I33">
        <f t="shared" si="2"/>
        <v>0.22453859642127511</v>
      </c>
      <c r="J33">
        <f t="shared" si="3"/>
        <v>-0.9196768778276796</v>
      </c>
    </row>
    <row r="34" spans="2:10" x14ac:dyDescent="0.2">
      <c r="B34" s="1">
        <v>140</v>
      </c>
      <c r="C34" s="1">
        <f t="shared" si="0"/>
        <v>2.4434609527920612</v>
      </c>
      <c r="D34">
        <f>Geometry!D30</f>
        <v>0.15015604935850135</v>
      </c>
      <c r="E34">
        <f>Geometry!E30</f>
        <v>0.50887102277887908</v>
      </c>
      <c r="F34">
        <f>Geometry!F30</f>
        <v>0.1053937796570915</v>
      </c>
      <c r="G34" s="2">
        <f>Geometry!G30</f>
        <v>2.2103572662458633E-4</v>
      </c>
      <c r="H34">
        <f t="shared" si="1"/>
        <v>3.1415926535897927</v>
      </c>
      <c r="I34">
        <f t="shared" si="2"/>
        <v>0.23468082956038261</v>
      </c>
      <c r="J34">
        <f t="shared" si="3"/>
        <v>-1.0593271251719238</v>
      </c>
    </row>
    <row r="35" spans="2:10" x14ac:dyDescent="0.2">
      <c r="B35" s="1">
        <v>145</v>
      </c>
      <c r="C35" s="1">
        <f t="shared" si="0"/>
        <v>2.5307274153917776</v>
      </c>
      <c r="D35">
        <f>Geometry!D31</f>
        <v>0.16840337212117867</v>
      </c>
      <c r="E35">
        <f>Geometry!E31</f>
        <v>0.70674751775030509</v>
      </c>
      <c r="F35">
        <f>Geometry!F31</f>
        <v>0.12808159735223118</v>
      </c>
      <c r="G35" s="2">
        <f>Geometry!G31</f>
        <v>3.1662408303559933E-4</v>
      </c>
      <c r="H35">
        <f t="shared" si="1"/>
        <v>3.1415926535897927</v>
      </c>
      <c r="I35">
        <f t="shared" si="2"/>
        <v>0.24422319632828871</v>
      </c>
      <c r="J35">
        <f t="shared" si="3"/>
        <v>-1.226038833586927</v>
      </c>
    </row>
    <row r="36" spans="2:10" x14ac:dyDescent="0.2">
      <c r="B36" s="1">
        <v>150</v>
      </c>
      <c r="C36" s="1">
        <f t="shared" si="0"/>
        <v>2.6179938779914944</v>
      </c>
      <c r="D36">
        <f>Geometry!D32</f>
        <v>0.14756595356828361</v>
      </c>
      <c r="E36">
        <f>Geometry!E32</f>
        <v>0.6328624968041513</v>
      </c>
      <c r="F36">
        <f>Geometry!F32</f>
        <v>0.12624570136816071</v>
      </c>
      <c r="G36" s="2">
        <f>Geometry!G32</f>
        <v>2.9078832489251068E-4</v>
      </c>
      <c r="H36">
        <f t="shared" si="1"/>
        <v>3.1415926535897927</v>
      </c>
      <c r="I36">
        <f t="shared" si="2"/>
        <v>0.18498876911296169</v>
      </c>
      <c r="J36">
        <f t="shared" si="3"/>
        <v>-1.0914965659301874</v>
      </c>
    </row>
    <row r="37" spans="2:10" x14ac:dyDescent="0.2">
      <c r="B37" s="1">
        <v>155</v>
      </c>
      <c r="C37" s="1">
        <f t="shared" si="0"/>
        <v>2.7052603405912108</v>
      </c>
      <c r="D37">
        <f>Geometry!D33</f>
        <v>6.954739953609701E-2</v>
      </c>
      <c r="E37">
        <f>Geometry!E33</f>
        <v>0.40411809302799173</v>
      </c>
      <c r="F37">
        <f>Geometry!F33</f>
        <v>6.2706537963449493E-2</v>
      </c>
      <c r="G37" s="2">
        <f>Geometry!G33</f>
        <v>3.0002842419856222E-4</v>
      </c>
      <c r="H37">
        <f t="shared" si="1"/>
        <v>3.1415926535897927</v>
      </c>
      <c r="I37">
        <f t="shared" si="2"/>
        <v>7.7935544385602809E-2</v>
      </c>
      <c r="J37">
        <f t="shared" si="3"/>
        <v>-0.54616320395567308</v>
      </c>
    </row>
    <row r="38" spans="2:10" x14ac:dyDescent="0.2">
      <c r="B38" s="1">
        <v>160</v>
      </c>
      <c r="C38" s="1">
        <f t="shared" si="0"/>
        <v>2.7925268031909272</v>
      </c>
      <c r="D38">
        <f>Geometry!D34</f>
        <v>0.17442478614405305</v>
      </c>
      <c r="E38">
        <f>Geometry!E34</f>
        <v>0.73394808653965871</v>
      </c>
      <c r="F38">
        <f>Geometry!F34</f>
        <v>0.11922275618488451</v>
      </c>
      <c r="G38" s="2">
        <f>Geometry!G34</f>
        <v>2.0568533014807706E-4</v>
      </c>
      <c r="H38">
        <f t="shared" si="1"/>
        <v>3.1415926535897927</v>
      </c>
      <c r="I38">
        <f t="shared" si="2"/>
        <v>0.1455631936565068</v>
      </c>
      <c r="J38">
        <f t="shared" si="3"/>
        <v>-1.3042800964650163</v>
      </c>
    </row>
    <row r="39" spans="2:10" x14ac:dyDescent="0.2">
      <c r="B39" s="1">
        <v>165</v>
      </c>
      <c r="C39" s="1">
        <f t="shared" si="0"/>
        <v>2.8797932657906435</v>
      </c>
      <c r="D39">
        <f>Geometry!D35</f>
        <v>0.18415540785227313</v>
      </c>
      <c r="E39">
        <f>Geometry!E35</f>
        <v>0.56708787083297241</v>
      </c>
      <c r="F39">
        <f>Geometry!F35</f>
        <v>0.13282337308517969</v>
      </c>
      <c r="G39" s="2">
        <f>Geometry!G35</f>
        <v>3.766979874186256E-4</v>
      </c>
      <c r="H39">
        <f t="shared" si="1"/>
        <v>3.1415926535897927</v>
      </c>
      <c r="I39">
        <f t="shared" si="2"/>
        <v>0.10276880759252957</v>
      </c>
      <c r="J39">
        <f t="shared" si="3"/>
        <v>-1.2444591008782417</v>
      </c>
    </row>
    <row r="40" spans="2:10" x14ac:dyDescent="0.2">
      <c r="B40" s="1">
        <v>170</v>
      </c>
      <c r="C40" s="1">
        <f t="shared" si="0"/>
        <v>2.9670597283903604</v>
      </c>
      <c r="D40">
        <f>Geometry!D36</f>
        <v>0.1950627034990236</v>
      </c>
      <c r="E40">
        <f>Geometry!E36</f>
        <v>0.6235607250659152</v>
      </c>
      <c r="F40">
        <f>Geometry!F36</f>
        <v>0.11762658428149599</v>
      </c>
      <c r="G40" s="2">
        <f>Geometry!G36</f>
        <v>2.2946706161642281E-4</v>
      </c>
      <c r="H40">
        <f t="shared" si="1"/>
        <v>3.1415926535897927</v>
      </c>
      <c r="I40">
        <f t="shared" si="2"/>
        <v>7.3630474546733091E-2</v>
      </c>
      <c r="J40">
        <f t="shared" si="3"/>
        <v>-1.3300234107097566</v>
      </c>
    </row>
    <row r="41" spans="2:10" x14ac:dyDescent="0.2">
      <c r="B41" s="1">
        <v>175</v>
      </c>
      <c r="C41" s="1">
        <f t="shared" si="0"/>
        <v>3.0543261909900763</v>
      </c>
      <c r="D41">
        <f>Geometry!D37</f>
        <v>0.18113922328197096</v>
      </c>
      <c r="E41">
        <f>Geometry!E37</f>
        <v>0.69075469732369765</v>
      </c>
      <c r="F41">
        <f>Geometry!F37</f>
        <v>9.4633979770365251E-2</v>
      </c>
      <c r="G41" s="2">
        <f>Geometry!G37</f>
        <v>3.1372688754881993E-4</v>
      </c>
      <c r="H41">
        <f t="shared" si="1"/>
        <v>3.1415926535897927</v>
      </c>
      <c r="I41">
        <f t="shared" si="2"/>
        <v>3.6640733371898382E-2</v>
      </c>
      <c r="J41">
        <f t="shared" si="3"/>
        <v>-1.3192774502104141</v>
      </c>
    </row>
    <row r="42" spans="2:10" x14ac:dyDescent="0.2">
      <c r="B42" s="1">
        <v>180</v>
      </c>
      <c r="C42" s="1">
        <f t="shared" si="0"/>
        <v>3.1415926535897931</v>
      </c>
      <c r="D42">
        <f>Geometry!D38</f>
        <v>0.11856992277367416</v>
      </c>
      <c r="E42">
        <f>Geometry!E38</f>
        <v>0.48086515191557799</v>
      </c>
      <c r="F42">
        <f>Geometry!F38</f>
        <v>0.10912577456878612</v>
      </c>
      <c r="G42" s="2">
        <f>Geometry!G38</f>
        <v>1.4031214797225134E-4</v>
      </c>
      <c r="H42">
        <f t="shared" si="1"/>
        <v>3.1415926535897927</v>
      </c>
      <c r="I42">
        <f t="shared" si="2"/>
        <v>3.4369607412756354E-17</v>
      </c>
      <c r="J42">
        <f t="shared" si="3"/>
        <v>-0.8816852845233194</v>
      </c>
    </row>
    <row r="43" spans="2:10" x14ac:dyDescent="0.2">
      <c r="B43" s="1">
        <v>185</v>
      </c>
      <c r="C43" s="1">
        <f t="shared" si="0"/>
        <v>3.2288591161895095</v>
      </c>
      <c r="D43">
        <f>Geometry!D39</f>
        <v>0.13750718263655243</v>
      </c>
      <c r="E43">
        <f>Geometry!E39</f>
        <v>0.45061603655441917</v>
      </c>
      <c r="F43">
        <f>Geometry!F39</f>
        <v>0.13684274073009914</v>
      </c>
      <c r="G43" s="2">
        <f>Geometry!G39</f>
        <v>1.2581885494198654E-4</v>
      </c>
      <c r="H43">
        <f t="shared" si="1"/>
        <v>3.1415926535897927</v>
      </c>
      <c r="I43">
        <f t="shared" si="2"/>
        <v>-2.6205058999095546E-2</v>
      </c>
      <c r="J43">
        <f t="shared" si="3"/>
        <v>-0.94413198665404285</v>
      </c>
    </row>
    <row r="44" spans="2:10" x14ac:dyDescent="0.2">
      <c r="B44" s="1">
        <v>190</v>
      </c>
      <c r="C44" s="1">
        <f t="shared" si="0"/>
        <v>3.3161255787892263</v>
      </c>
      <c r="D44">
        <f>Geometry!D40</f>
        <v>0.14258677319689808</v>
      </c>
      <c r="E44">
        <f>Geometry!E40</f>
        <v>0.67212080496687809</v>
      </c>
      <c r="F44">
        <f>Geometry!F40</f>
        <v>0.13903844986944247</v>
      </c>
      <c r="G44" s="2">
        <f>Geometry!G40</f>
        <v>4.7538424868276733E-4</v>
      </c>
      <c r="H44">
        <f t="shared" si="1"/>
        <v>3.1415926535897927</v>
      </c>
      <c r="I44">
        <f t="shared" si="2"/>
        <v>-6.1534526815155817E-2</v>
      </c>
      <c r="J44">
        <f t="shared" si="3"/>
        <v>-1.1053541391253006</v>
      </c>
    </row>
    <row r="45" spans="2:10" x14ac:dyDescent="0.2">
      <c r="B45" s="1">
        <v>195</v>
      </c>
      <c r="C45" s="1">
        <f t="shared" si="0"/>
        <v>3.4033920413889422</v>
      </c>
      <c r="D45">
        <f>Geometry!D41</f>
        <v>0.18945720618726442</v>
      </c>
      <c r="E45">
        <f>Geometry!E41</f>
        <v>0.68835038139320948</v>
      </c>
      <c r="F45">
        <f>Geometry!F41</f>
        <v>8.9236263182319975E-2</v>
      </c>
      <c r="G45" s="2">
        <f>Geometry!G41</f>
        <v>1.6696324592835749E-4</v>
      </c>
      <c r="H45">
        <f t="shared" si="1"/>
        <v>3.1415926535897927</v>
      </c>
      <c r="I45">
        <f t="shared" si="2"/>
        <v>-0.11309382430889311</v>
      </c>
      <c r="J45">
        <f t="shared" si="3"/>
        <v>-1.3604530252720324</v>
      </c>
    </row>
    <row r="46" spans="2:10" x14ac:dyDescent="0.2">
      <c r="B46" s="1">
        <v>200</v>
      </c>
      <c r="C46" s="1">
        <f t="shared" si="0"/>
        <v>3.4906585039886591</v>
      </c>
      <c r="D46">
        <f>Geometry!D42</f>
        <v>7.7905007446080171E-2</v>
      </c>
      <c r="E46">
        <f>Geometry!E42</f>
        <v>0.66162076951925552</v>
      </c>
      <c r="F46">
        <f>Geometry!F42</f>
        <v>6.5149236088855839E-2</v>
      </c>
      <c r="G46" s="2">
        <f>Geometry!G42</f>
        <v>2.1493808268761391E-4</v>
      </c>
      <c r="H46">
        <f t="shared" si="1"/>
        <v>3.1415926535897927</v>
      </c>
      <c r="I46">
        <f t="shared" si="2"/>
        <v>-7.4445903408598899E-2</v>
      </c>
      <c r="J46">
        <f t="shared" si="3"/>
        <v>-0.65316715763257926</v>
      </c>
    </row>
    <row r="47" spans="2:10" x14ac:dyDescent="0.2">
      <c r="B47" s="1">
        <v>205</v>
      </c>
      <c r="C47" s="1">
        <f t="shared" si="0"/>
        <v>3.5779249665883754</v>
      </c>
      <c r="D47">
        <f>Geometry!D43</f>
        <v>9.9493392711791251E-2</v>
      </c>
      <c r="E47">
        <f>Geometry!E43</f>
        <v>0.3947647445778848</v>
      </c>
      <c r="F47">
        <f>Geometry!F43</f>
        <v>5.4615768797414567E-2</v>
      </c>
      <c r="G47" s="2">
        <f>Geometry!G43</f>
        <v>4.6511108568847356E-4</v>
      </c>
      <c r="H47">
        <f t="shared" si="1"/>
        <v>3.1415926535897927</v>
      </c>
      <c r="I47">
        <f t="shared" si="2"/>
        <v>-0.10192344280083614</v>
      </c>
      <c r="J47">
        <f t="shared" si="3"/>
        <v>-0.73087772886887115</v>
      </c>
    </row>
    <row r="48" spans="2:10" x14ac:dyDescent="0.2">
      <c r="B48" s="1">
        <v>210</v>
      </c>
      <c r="C48" s="1">
        <f t="shared" si="0"/>
        <v>3.6651914291880923</v>
      </c>
      <c r="D48">
        <f>Geometry!D44</f>
        <v>0.14211370572481094</v>
      </c>
      <c r="E48">
        <f>Geometry!E44</f>
        <v>0.53904745932798293</v>
      </c>
      <c r="F48">
        <f>Geometry!F44</f>
        <v>7.5884315094305169E-2</v>
      </c>
      <c r="G48" s="2">
        <f>Geometry!G44</f>
        <v>3.6967516657738397E-4</v>
      </c>
      <c r="H48">
        <f t="shared" si="1"/>
        <v>3.1415926535897927</v>
      </c>
      <c r="I48">
        <f t="shared" si="2"/>
        <v>-0.17226394025262404</v>
      </c>
      <c r="J48">
        <f t="shared" si="3"/>
        <v>-1.0298019424696205</v>
      </c>
    </row>
    <row r="49" spans="2:10" x14ac:dyDescent="0.2">
      <c r="B49" s="1">
        <v>215</v>
      </c>
      <c r="C49" s="1">
        <f t="shared" si="0"/>
        <v>3.7524578917878082</v>
      </c>
      <c r="D49">
        <f>Geometry!D45</f>
        <v>5.5936654763093285E-2</v>
      </c>
      <c r="E49">
        <f>Geometry!E45</f>
        <v>0.75640472799861025</v>
      </c>
      <c r="F49">
        <f>Geometry!F45</f>
        <v>5.1535787263625898E-2</v>
      </c>
      <c r="G49" s="2">
        <f>Geometry!G45</f>
        <v>3.2272501230353015E-4</v>
      </c>
      <c r="H49">
        <f t="shared" si="1"/>
        <v>3.1415926535897927</v>
      </c>
      <c r="I49">
        <f t="shared" si="2"/>
        <v>-9.4688866293638221E-2</v>
      </c>
      <c r="J49">
        <f t="shared" si="3"/>
        <v>-0.43826807540703183</v>
      </c>
    </row>
    <row r="50" spans="2:10" x14ac:dyDescent="0.2">
      <c r="B50" s="1">
        <v>220</v>
      </c>
      <c r="C50" s="1">
        <f t="shared" si="0"/>
        <v>3.839724354387525</v>
      </c>
      <c r="D50">
        <f>Geometry!D46</f>
        <v>9.8508647797054233E-2</v>
      </c>
      <c r="E50">
        <f>Geometry!E46</f>
        <v>0.61614197207467669</v>
      </c>
      <c r="F50">
        <f>Geometry!F46</f>
        <v>9.5979595873612406E-2</v>
      </c>
      <c r="G50" s="2">
        <f>Geometry!G46</f>
        <v>4.7315170871891016E-4</v>
      </c>
      <c r="H50">
        <f t="shared" si="1"/>
        <v>3.1415926535897927</v>
      </c>
      <c r="I50">
        <f t="shared" si="2"/>
        <v>-0.1745626047749462</v>
      </c>
      <c r="J50">
        <f t="shared" si="3"/>
        <v>-0.71778793350002135</v>
      </c>
    </row>
    <row r="51" spans="2:10" x14ac:dyDescent="0.2">
      <c r="B51" s="1">
        <v>225</v>
      </c>
      <c r="C51" s="1">
        <f t="shared" si="0"/>
        <v>3.9269908169872414</v>
      </c>
      <c r="D51">
        <f>Geometry!D47</f>
        <v>6.4215110387579877E-2</v>
      </c>
      <c r="E51">
        <f>Geometry!E47</f>
        <v>0.32160193605403264</v>
      </c>
      <c r="F51">
        <f>Geometry!F47</f>
        <v>5.3341348173124054E-2</v>
      </c>
      <c r="G51" s="2">
        <f>Geometry!G47</f>
        <v>1.0350984119788574E-4</v>
      </c>
      <c r="H51">
        <f t="shared" si="1"/>
        <v>3.1415926535897927</v>
      </c>
      <c r="I51">
        <f t="shared" si="2"/>
        <v>-0.12250935680802165</v>
      </c>
      <c r="J51">
        <f t="shared" si="3"/>
        <v>-0.44814853495973977</v>
      </c>
    </row>
    <row r="52" spans="2:10" x14ac:dyDescent="0.2">
      <c r="B52" s="1">
        <v>230</v>
      </c>
      <c r="C52" s="1">
        <f t="shared" si="0"/>
        <v>4.0142572795869578</v>
      </c>
      <c r="D52">
        <f>Geometry!D48</f>
        <v>0.15122918095148602</v>
      </c>
      <c r="E52">
        <f>Geometry!E48</f>
        <v>0.67254290777865267</v>
      </c>
      <c r="F52">
        <f>Geometry!F48</f>
        <v>0.14007279288430741</v>
      </c>
      <c r="G52" s="2">
        <f>Geometry!G48</f>
        <v>4.1070881699989132E-4</v>
      </c>
      <c r="H52">
        <f t="shared" si="1"/>
        <v>3.1415926535897927</v>
      </c>
      <c r="I52">
        <f t="shared" si="2"/>
        <v>-0.31134362898926748</v>
      </c>
      <c r="J52">
        <f t="shared" si="3"/>
        <v>-1.0176871296543943</v>
      </c>
    </row>
    <row r="53" spans="2:10" x14ac:dyDescent="0.2">
      <c r="B53" s="1">
        <v>235</v>
      </c>
      <c r="C53" s="1">
        <f t="shared" si="0"/>
        <v>4.1015237421866741</v>
      </c>
      <c r="D53">
        <f>Geometry!D49</f>
        <v>9.9756773766425055E-2</v>
      </c>
      <c r="E53">
        <f>Geometry!E49</f>
        <v>0.48943209269685672</v>
      </c>
      <c r="F53">
        <f>Geometry!F49</f>
        <v>6.0698232554668843E-2</v>
      </c>
      <c r="G53" s="2">
        <f>Geometry!G49</f>
        <v>2.897432450971969E-4</v>
      </c>
      <c r="H53">
        <f t="shared" si="1"/>
        <v>3.1415926535897927</v>
      </c>
      <c r="I53">
        <f t="shared" si="2"/>
        <v>-0.22670606141119876</v>
      </c>
      <c r="J53">
        <f t="shared" si="3"/>
        <v>-0.63335506095240768</v>
      </c>
    </row>
    <row r="54" spans="2:10" x14ac:dyDescent="0.2">
      <c r="B54" s="1">
        <v>240</v>
      </c>
      <c r="C54" s="1">
        <f t="shared" si="0"/>
        <v>4.1887902047863905</v>
      </c>
      <c r="D54">
        <f>Geometry!D50</f>
        <v>0.13890651480280311</v>
      </c>
      <c r="E54">
        <f>Geometry!E50</f>
        <v>0.50020846348778669</v>
      </c>
      <c r="F54">
        <f>Geometry!F50</f>
        <v>6.7726565868801519E-2</v>
      </c>
      <c r="G54" s="2">
        <f>Geometry!G50</f>
        <v>2.8821877448289082E-4</v>
      </c>
      <c r="H54">
        <f t="shared" si="1"/>
        <v>3.1415926535897927</v>
      </c>
      <c r="I54">
        <f t="shared" si="2"/>
        <v>-0.32544875809097562</v>
      </c>
      <c r="J54">
        <f t="shared" si="3"/>
        <v>-0.8758310237241389</v>
      </c>
    </row>
    <row r="55" spans="2:10" x14ac:dyDescent="0.2">
      <c r="B55" s="1">
        <v>245</v>
      </c>
      <c r="C55" s="1">
        <f t="shared" si="0"/>
        <v>4.2760566673861069</v>
      </c>
      <c r="D55">
        <f>Geometry!D51</f>
        <v>0.16871771142855144</v>
      </c>
      <c r="E55">
        <f>Geometry!E51</f>
        <v>0.4391555195769985</v>
      </c>
      <c r="F55">
        <f>Geometry!F51</f>
        <v>0.13060715692389283</v>
      </c>
      <c r="G55" s="2">
        <f>Geometry!G51</f>
        <v>2.3827473575914774E-4</v>
      </c>
      <c r="H55">
        <f t="shared" si="1"/>
        <v>3.1415926535897927</v>
      </c>
      <c r="I55">
        <f t="shared" si="2"/>
        <v>-0.40238467299956787</v>
      </c>
      <c r="J55">
        <f t="shared" si="3"/>
        <v>-1.1149504685264047</v>
      </c>
    </row>
    <row r="56" spans="2:10" x14ac:dyDescent="0.2">
      <c r="B56" s="1">
        <v>250</v>
      </c>
      <c r="C56" s="1">
        <f t="shared" si="0"/>
        <v>4.3633231299858233</v>
      </c>
      <c r="D56">
        <f>Geometry!D52</f>
        <v>0.19551719104101944</v>
      </c>
      <c r="E56">
        <f>Geometry!E52</f>
        <v>0.55064391609179375</v>
      </c>
      <c r="F56">
        <f>Geometry!F52</f>
        <v>0.14025489540914332</v>
      </c>
      <c r="G56" s="2">
        <f>Geometry!G52</f>
        <v>4.8700262160327975E-4</v>
      </c>
      <c r="H56">
        <f t="shared" si="1"/>
        <v>3.1415926535897927</v>
      </c>
      <c r="I56">
        <f t="shared" si="2"/>
        <v>-0.50709754453649625</v>
      </c>
      <c r="J56">
        <f t="shared" si="3"/>
        <v>-1.1848597429143961</v>
      </c>
    </row>
    <row r="57" spans="2:10" x14ac:dyDescent="0.2">
      <c r="B57" s="1">
        <v>255</v>
      </c>
      <c r="C57" s="1">
        <f t="shared" si="0"/>
        <v>4.4505895925855405</v>
      </c>
      <c r="D57">
        <f>Geometry!D53</f>
        <v>8.1096266580566456E-2</v>
      </c>
      <c r="E57">
        <f>Geometry!E53</f>
        <v>0.2676251562051164</v>
      </c>
      <c r="F57">
        <f>Geometry!F53</f>
        <v>6.6950181459092942E-2</v>
      </c>
      <c r="G57" s="2">
        <f>Geometry!G53</f>
        <v>4.6068505698439931E-4</v>
      </c>
      <c r="H57">
        <f t="shared" si="1"/>
        <v>3.1415926535897927</v>
      </c>
      <c r="I57">
        <f t="shared" si="2"/>
        <v>-0.22678998206407422</v>
      </c>
      <c r="J57">
        <f t="shared" si="3"/>
        <v>-0.41719720218029299</v>
      </c>
    </row>
    <row r="58" spans="2:10" x14ac:dyDescent="0.2">
      <c r="B58" s="1">
        <v>260</v>
      </c>
      <c r="C58" s="1">
        <f t="shared" si="0"/>
        <v>4.5378560551852569</v>
      </c>
      <c r="D58">
        <f>Geometry!D54</f>
        <v>9.7272995836829551E-2</v>
      </c>
      <c r="E58">
        <f>Geometry!E54</f>
        <v>0.72080982095422452</v>
      </c>
      <c r="F58">
        <f>Geometry!F54</f>
        <v>8.6847799764849104E-2</v>
      </c>
      <c r="G58" s="2">
        <f>Geometry!G54</f>
        <v>3.3800939898107974E-4</v>
      </c>
      <c r="H58">
        <f t="shared" si="1"/>
        <v>3.1415926535897927</v>
      </c>
      <c r="I58">
        <f t="shared" si="2"/>
        <v>-0.29389712215988789</v>
      </c>
      <c r="J58">
        <f t="shared" si="3"/>
        <v>-0.28845476412188459</v>
      </c>
    </row>
    <row r="59" spans="2:10" x14ac:dyDescent="0.2">
      <c r="B59" s="1">
        <v>265</v>
      </c>
      <c r="C59" s="1">
        <f t="shared" si="0"/>
        <v>4.6251225177849733</v>
      </c>
      <c r="D59">
        <f>Geometry!D55</f>
        <v>0.14425472780735857</v>
      </c>
      <c r="E59">
        <f>Geometry!E55</f>
        <v>0.53847150061669269</v>
      </c>
      <c r="F59">
        <f>Geometry!F55</f>
        <v>5.3172354834210789E-2</v>
      </c>
      <c r="G59" s="2">
        <f>Geometry!G55</f>
        <v>3.9713816152175697E-4</v>
      </c>
      <c r="H59">
        <f t="shared" si="1"/>
        <v>3.1415926535897927</v>
      </c>
      <c r="I59">
        <f t="shared" si="2"/>
        <v>-0.44092393197998209</v>
      </c>
      <c r="J59">
        <f t="shared" si="3"/>
        <v>-0.49970676439884465</v>
      </c>
    </row>
    <row r="60" spans="2:10" x14ac:dyDescent="0.2">
      <c r="B60" s="1">
        <v>270</v>
      </c>
      <c r="C60" s="1">
        <f t="shared" si="0"/>
        <v>4.7123889803846897</v>
      </c>
      <c r="D60">
        <f>Geometry!D56</f>
        <v>0.16462907731829157</v>
      </c>
      <c r="E60">
        <f>Geometry!E56</f>
        <v>0.29240250017099167</v>
      </c>
      <c r="F60">
        <f>Geometry!F56</f>
        <v>5.6562360874395617E-2</v>
      </c>
      <c r="G60" s="2">
        <f>Geometry!G56</f>
        <v>1.2621697724287322E-4</v>
      </c>
      <c r="H60">
        <f t="shared" si="1"/>
        <v>3.1415926535897927</v>
      </c>
      <c r="I60">
        <f t="shared" si="2"/>
        <v>-0.51719749987041075</v>
      </c>
      <c r="J60">
        <f t="shared" si="3"/>
        <v>-0.91481178757287784</v>
      </c>
    </row>
    <row r="61" spans="2:10" x14ac:dyDescent="0.2">
      <c r="B61" s="1">
        <v>275</v>
      </c>
      <c r="C61" s="1">
        <f t="shared" si="0"/>
        <v>4.7996554429844061</v>
      </c>
      <c r="D61">
        <f>Geometry!D57</f>
        <v>0.177996472972546</v>
      </c>
      <c r="E61">
        <f>Geometry!E57</f>
        <v>0.56857972544704027</v>
      </c>
      <c r="F61">
        <f>Geometry!F57</f>
        <v>5.0216884550949838E-2</v>
      </c>
      <c r="G61" s="2">
        <f>Geometry!G57</f>
        <v>1.7080734839448327E-4</v>
      </c>
      <c r="H61">
        <f t="shared" si="1"/>
        <v>3.1415926535897927</v>
      </c>
      <c r="I61">
        <f t="shared" si="2"/>
        <v>-0.57226374395101121</v>
      </c>
      <c r="J61">
        <f t="shared" si="3"/>
        <v>-0.38849368734433465</v>
      </c>
    </row>
    <row r="62" spans="2:10" x14ac:dyDescent="0.2">
      <c r="B62" s="1">
        <v>280</v>
      </c>
      <c r="C62" s="1">
        <f t="shared" si="0"/>
        <v>4.8869219055841224</v>
      </c>
      <c r="D62">
        <f>Geometry!D58</f>
        <v>0.15024253830708145</v>
      </c>
      <c r="E62">
        <f>Geometry!E58</f>
        <v>0.73737088138252571</v>
      </c>
      <c r="F62">
        <f>Geometry!F58</f>
        <v>0.14209764389489732</v>
      </c>
      <c r="G62" s="2">
        <f>Geometry!G58</f>
        <v>1.5626733920908351E-4</v>
      </c>
      <c r="H62">
        <f t="shared" si="1"/>
        <v>3.1415926535897927</v>
      </c>
      <c r="I62">
        <f t="shared" si="2"/>
        <v>-0.48127652202366528</v>
      </c>
      <c r="J62">
        <f t="shared" si="3"/>
        <v>-2.6421586854596002E-2</v>
      </c>
    </row>
    <row r="63" spans="2:10" x14ac:dyDescent="0.2">
      <c r="B63" s="1">
        <v>285</v>
      </c>
      <c r="C63" s="1">
        <f t="shared" si="0"/>
        <v>4.9741883681838397</v>
      </c>
      <c r="D63">
        <f>Geometry!D59</f>
        <v>0.13448378933193089</v>
      </c>
      <c r="E63">
        <f>Geometry!E59</f>
        <v>0.52296051800811083</v>
      </c>
      <c r="F63">
        <f>Geometry!F59</f>
        <v>5.4642873429508465E-2</v>
      </c>
      <c r="G63" s="2">
        <f>Geometry!G59</f>
        <v>2.4344736741885396E-4</v>
      </c>
      <c r="H63">
        <f t="shared" si="1"/>
        <v>3.1415926535897927</v>
      </c>
      <c r="I63">
        <f t="shared" si="2"/>
        <v>-0.43525911933761435</v>
      </c>
      <c r="J63">
        <f t="shared" si="3"/>
        <v>4.7933080202343825E-2</v>
      </c>
    </row>
    <row r="64" spans="2:10" x14ac:dyDescent="0.2">
      <c r="B64" s="1">
        <v>290</v>
      </c>
      <c r="C64" s="1">
        <f t="shared" si="0"/>
        <v>5.0614548307835552</v>
      </c>
      <c r="D64">
        <f>Geometry!D60</f>
        <v>9.1814192862604255E-2</v>
      </c>
      <c r="E64">
        <f>Geometry!E60</f>
        <v>0.59293700927289683</v>
      </c>
      <c r="F64">
        <f>Geometry!F60</f>
        <v>7.1426459701527126E-2</v>
      </c>
      <c r="G64" s="2">
        <f>Geometry!G60</f>
        <v>4.2620969536826572E-4</v>
      </c>
      <c r="H64">
        <f t="shared" si="1"/>
        <v>3.1415926535897927</v>
      </c>
      <c r="I64">
        <f t="shared" si="2"/>
        <v>-0.28540240816725326</v>
      </c>
      <c r="J64">
        <f t="shared" si="3"/>
        <v>0.20243912071764841</v>
      </c>
    </row>
    <row r="65" spans="2:10" x14ac:dyDescent="0.2">
      <c r="B65" s="1">
        <v>295</v>
      </c>
      <c r="C65" s="1">
        <f t="shared" si="0"/>
        <v>5.1487212933832724</v>
      </c>
      <c r="D65">
        <f>Geometry!D61</f>
        <v>0.18178090751818321</v>
      </c>
      <c r="E65">
        <f>Geometry!E61</f>
        <v>0.44483349256681293</v>
      </c>
      <c r="F65">
        <f>Geometry!F61</f>
        <v>0.10447908766948036</v>
      </c>
      <c r="G65" s="2">
        <f>Geometry!G61</f>
        <v>2.8509483118400791E-4</v>
      </c>
      <c r="H65">
        <f t="shared" si="1"/>
        <v>3.1415926535897927</v>
      </c>
      <c r="I65">
        <f t="shared" si="2"/>
        <v>-0.6069623671228791</v>
      </c>
      <c r="J65">
        <f t="shared" si="3"/>
        <v>0.28695560333987413</v>
      </c>
    </row>
    <row r="66" spans="2:10" x14ac:dyDescent="0.2">
      <c r="B66" s="1">
        <v>300</v>
      </c>
      <c r="C66" s="1">
        <f t="shared" si="0"/>
        <v>5.2359877559829888</v>
      </c>
      <c r="D66">
        <f>Geometry!D62</f>
        <v>0.17032754311827142</v>
      </c>
      <c r="E66">
        <f>Geometry!E62</f>
        <v>0.4781611490658163</v>
      </c>
      <c r="F66">
        <f>Geometry!F62</f>
        <v>0.13062026912853048</v>
      </c>
      <c r="G66" s="2">
        <f>Geometry!G62</f>
        <v>1.6095199662143208E-4</v>
      </c>
      <c r="H66">
        <f t="shared" si="1"/>
        <v>3.1415926535897927</v>
      </c>
      <c r="I66">
        <f t="shared" si="2"/>
        <v>-0.5459464723063171</v>
      </c>
      <c r="J66">
        <f t="shared" si="3"/>
        <v>0.54112347503001923</v>
      </c>
    </row>
    <row r="67" spans="2:10" x14ac:dyDescent="0.2">
      <c r="B67" s="1">
        <v>305</v>
      </c>
      <c r="C67" s="1">
        <f t="shared" si="0"/>
        <v>5.3232542185827052</v>
      </c>
      <c r="D67">
        <f>Geometry!D63</f>
        <v>0.15062534790195242</v>
      </c>
      <c r="E67">
        <f>Geometry!E63</f>
        <v>0.51094561463066335</v>
      </c>
      <c r="F67">
        <f>Geometry!F63</f>
        <v>7.7701524802847977E-2</v>
      </c>
      <c r="G67" s="2">
        <f>Geometry!G63</f>
        <v>1.0811732157190158E-4</v>
      </c>
      <c r="H67">
        <f t="shared" si="1"/>
        <v>3.1415926535897927</v>
      </c>
      <c r="I67">
        <f t="shared" si="2"/>
        <v>-0.45316872817325426</v>
      </c>
      <c r="J67">
        <f t="shared" si="3"/>
        <v>0.70279587929037313</v>
      </c>
    </row>
    <row r="68" spans="2:10" x14ac:dyDescent="0.2">
      <c r="B68" s="1">
        <v>310</v>
      </c>
      <c r="C68" s="1">
        <f t="shared" si="0"/>
        <v>5.4105206811824216</v>
      </c>
      <c r="D68">
        <f>Geometry!D64</f>
        <v>9.6378431251428948E-2</v>
      </c>
      <c r="E68">
        <f>Geometry!E64</f>
        <v>0.72838350369193039</v>
      </c>
      <c r="F68">
        <f>Geometry!F64</f>
        <v>8.1093852872363509E-2</v>
      </c>
      <c r="G68" s="2">
        <f>Geometry!G64</f>
        <v>2.0644560161167869E-4</v>
      </c>
      <c r="H68">
        <f t="shared" si="1"/>
        <v>3.1415926535897927</v>
      </c>
      <c r="I68">
        <f t="shared" si="2"/>
        <v>-0.25167174311483265</v>
      </c>
      <c r="J68">
        <f t="shared" si="3"/>
        <v>0.58957455026888739</v>
      </c>
    </row>
    <row r="69" spans="2:10" x14ac:dyDescent="0.2">
      <c r="B69" s="1">
        <v>315</v>
      </c>
      <c r="C69" s="1">
        <f t="shared" si="0"/>
        <v>5.497787143782138</v>
      </c>
      <c r="D69">
        <f>Geometry!D65</f>
        <v>7.6466491636312459E-2</v>
      </c>
      <c r="E69">
        <f>Geometry!E65</f>
        <v>0.39015401812767747</v>
      </c>
      <c r="F69">
        <f>Geometry!F65</f>
        <v>5.5953835727818917E-2</v>
      </c>
      <c r="G69" s="2">
        <f>Geometry!G65</f>
        <v>2.9691087639994855E-4</v>
      </c>
      <c r="H69">
        <f t="shared" si="1"/>
        <v>3.1415926535897927</v>
      </c>
      <c r="I69">
        <f t="shared" si="2"/>
        <v>-0.19340690138684868</v>
      </c>
      <c r="J69">
        <f t="shared" si="3"/>
        <v>0.53364926095264642</v>
      </c>
    </row>
    <row r="70" spans="2:10" x14ac:dyDescent="0.2">
      <c r="B70" s="1">
        <v>320</v>
      </c>
      <c r="C70" s="1">
        <f t="shared" si="0"/>
        <v>5.5850536063818543</v>
      </c>
      <c r="D70">
        <f>Geometry!D66</f>
        <v>0.11573027607607564</v>
      </c>
      <c r="E70">
        <f>Geometry!E66</f>
        <v>0.52606237224191266</v>
      </c>
      <c r="F70">
        <f>Geometry!F66</f>
        <v>7.8566602549843212E-2</v>
      </c>
      <c r="G70" s="2">
        <f>Geometry!G66</f>
        <v>1.1772756179502185E-4</v>
      </c>
      <c r="H70">
        <f t="shared" si="1"/>
        <v>3.1415926535897927</v>
      </c>
      <c r="I70">
        <f t="shared" si="2"/>
        <v>-0.27308778669847666</v>
      </c>
      <c r="J70">
        <f t="shared" si="3"/>
        <v>0.9186193572425787</v>
      </c>
    </row>
    <row r="71" spans="2:10" x14ac:dyDescent="0.2">
      <c r="B71" s="1">
        <v>325</v>
      </c>
      <c r="C71" s="1">
        <f t="shared" ref="C71:C78" si="4">(B71*PI())/180</f>
        <v>5.6723200689815707</v>
      </c>
      <c r="D71">
        <f>Geometry!D67</f>
        <v>0.11602317925054828</v>
      </c>
      <c r="E71">
        <f>Geometry!E67</f>
        <v>0.40351772747186354</v>
      </c>
      <c r="F71">
        <f>Geometry!F67</f>
        <v>0.10710570224322934</v>
      </c>
      <c r="G71" s="2">
        <f>Geometry!G67</f>
        <v>2.8014555957657625E-4</v>
      </c>
      <c r="H71">
        <f t="shared" ref="H71:H78" si="5">(2*PI()*30)/60</f>
        <v>3.1415926535897927</v>
      </c>
      <c r="I71">
        <f t="shared" ref="I71:I78" si="6">$D71*$H$6*SIN($C71)+($D71^2*$H$6*SIN(2*$C71)/(2*$E71))</f>
        <v>-0.2583088659879253</v>
      </c>
      <c r="J71">
        <f t="shared" ref="J71:J78" si="7">($D71)*(H71^2)*(COS($C71))+(($D71^2)*(H71^2)*COS(2*$C71))/$E71</f>
        <v>1.0506237223357682</v>
      </c>
    </row>
    <row r="72" spans="2:10" x14ac:dyDescent="0.2">
      <c r="B72" s="1">
        <v>330</v>
      </c>
      <c r="C72" s="1">
        <f t="shared" si="4"/>
        <v>5.7595865315812871</v>
      </c>
      <c r="D72">
        <f>Geometry!D68</f>
        <v>9.1519329476551503E-2</v>
      </c>
      <c r="E72">
        <f>Geometry!E68</f>
        <v>0.72761007685011792</v>
      </c>
      <c r="F72">
        <f>Geometry!F68</f>
        <v>7.8360147348404185E-2</v>
      </c>
      <c r="G72" s="2">
        <f>Geometry!G68</f>
        <v>1.6337903722483396E-4</v>
      </c>
      <c r="H72">
        <f t="shared" si="5"/>
        <v>3.1415926535897927</v>
      </c>
      <c r="I72">
        <f t="shared" si="6"/>
        <v>-0.15941771112704103</v>
      </c>
      <c r="J72">
        <f t="shared" si="7"/>
        <v>0.83905206614043859</v>
      </c>
    </row>
    <row r="73" spans="2:10" x14ac:dyDescent="0.2">
      <c r="B73" s="1">
        <v>335</v>
      </c>
      <c r="C73" s="1">
        <f t="shared" si="4"/>
        <v>5.8468529941810035</v>
      </c>
      <c r="D73">
        <f>Geometry!D69</f>
        <v>0.16446297746001873</v>
      </c>
      <c r="E73">
        <f>Geometry!E69</f>
        <v>0.75985272419777228</v>
      </c>
      <c r="F73">
        <f>Geometry!F69</f>
        <v>6.3549351443331903E-2</v>
      </c>
      <c r="G73" s="2">
        <f>Geometry!G69</f>
        <v>3.000076307889304E-4</v>
      </c>
      <c r="H73">
        <f t="shared" si="5"/>
        <v>3.1415926535897927</v>
      </c>
      <c r="I73">
        <f t="shared" si="6"/>
        <v>-0.2611897977227956</v>
      </c>
      <c r="J73">
        <f t="shared" si="7"/>
        <v>1.6969308654507258</v>
      </c>
    </row>
    <row r="74" spans="2:10" x14ac:dyDescent="0.2">
      <c r="B74" s="1">
        <v>340</v>
      </c>
      <c r="C74" s="1">
        <f t="shared" si="4"/>
        <v>5.9341194567807207</v>
      </c>
      <c r="D74">
        <f>Geometry!D70</f>
        <v>0.16692152087152501</v>
      </c>
      <c r="E74">
        <f>Geometry!E70</f>
        <v>0.60893376980174529</v>
      </c>
      <c r="F74">
        <f>Geometry!F70</f>
        <v>5.667918364177485E-2</v>
      </c>
      <c r="G74" s="2">
        <f>Geometry!G70</f>
        <v>3.3149743234237239E-4</v>
      </c>
      <c r="H74">
        <f t="shared" si="5"/>
        <v>3.1415926535897927</v>
      </c>
      <c r="I74">
        <f t="shared" si="6"/>
        <v>-0.22555516656377197</v>
      </c>
      <c r="J74">
        <f t="shared" si="7"/>
        <v>1.8940420267624474</v>
      </c>
    </row>
    <row r="75" spans="2:10" x14ac:dyDescent="0.2">
      <c r="B75" s="1">
        <v>345</v>
      </c>
      <c r="C75" s="1">
        <f t="shared" si="4"/>
        <v>6.0213859193804371</v>
      </c>
      <c r="D75">
        <f>Geometry!D71</f>
        <v>0.11697453894729296</v>
      </c>
      <c r="E75">
        <f>Geometry!E71</f>
        <v>0.49573444892191643</v>
      </c>
      <c r="F75">
        <f>Geometry!F71</f>
        <v>6.3387189418037587E-2</v>
      </c>
      <c r="G75" s="2">
        <f>Geometry!G71</f>
        <v>1.4358624378645675E-4</v>
      </c>
      <c r="H75">
        <f t="shared" si="5"/>
        <v>3.1415926535897927</v>
      </c>
      <c r="I75">
        <f t="shared" si="6"/>
        <v>-0.1167906791221768</v>
      </c>
      <c r="J75">
        <f t="shared" si="7"/>
        <v>1.3510736157045558</v>
      </c>
    </row>
    <row r="76" spans="2:10" x14ac:dyDescent="0.2">
      <c r="B76" s="1">
        <v>350</v>
      </c>
      <c r="C76" s="1">
        <f t="shared" si="4"/>
        <v>6.1086523819801526</v>
      </c>
      <c r="D76">
        <f>Geometry!D72</f>
        <v>9.3846446099189046E-2</v>
      </c>
      <c r="E76">
        <f>Geometry!E72</f>
        <v>0.3185294943223379</v>
      </c>
      <c r="F76">
        <f>Geometry!F72</f>
        <v>5.6951359557653861E-2</v>
      </c>
      <c r="G76" s="2">
        <f>Geometry!G72</f>
        <v>4.930172916553598E-4</v>
      </c>
      <c r="H76">
        <f t="shared" si="5"/>
        <v>3.1415926535897927</v>
      </c>
      <c r="I76">
        <f t="shared" si="6"/>
        <v>-6.6050708379219544E-2</v>
      </c>
      <c r="J76">
        <f t="shared" si="7"/>
        <v>1.168587440825418</v>
      </c>
    </row>
    <row r="77" spans="2:10" x14ac:dyDescent="0.2">
      <c r="B77" s="1">
        <v>355</v>
      </c>
      <c r="C77" s="1">
        <f t="shared" si="4"/>
        <v>6.1959188445798699</v>
      </c>
      <c r="D77">
        <f>Geometry!D73</f>
        <v>0.17882998331002614</v>
      </c>
      <c r="E77">
        <f>Geometry!E73</f>
        <v>0.66241625482187949</v>
      </c>
      <c r="F77">
        <f>Geometry!F73</f>
        <v>0.14605605284836071</v>
      </c>
      <c r="G77" s="2">
        <f>Geometry!G73</f>
        <v>2.7857454439418963E-4</v>
      </c>
      <c r="H77">
        <f t="shared" si="5"/>
        <v>3.1415926535897927</v>
      </c>
      <c r="I77">
        <f t="shared" si="6"/>
        <v>-6.2133657485185192E-2</v>
      </c>
      <c r="J77">
        <f t="shared" si="7"/>
        <v>2.2275112457047577</v>
      </c>
    </row>
    <row r="78" spans="2:10" x14ac:dyDescent="0.2">
      <c r="B78" s="1">
        <v>360</v>
      </c>
      <c r="C78" s="1">
        <f t="shared" si="4"/>
        <v>6.2831853071795862</v>
      </c>
      <c r="D78">
        <f>Geometry!D74</f>
        <v>0.1912449192687275</v>
      </c>
      <c r="E78">
        <f>Geometry!E74</f>
        <v>0.31051943548547145</v>
      </c>
      <c r="F78">
        <f>Geometry!F74</f>
        <v>8.2267367656387438E-2</v>
      </c>
      <c r="G78" s="2">
        <f>Geometry!G74</f>
        <v>3.8940671028997329E-4</v>
      </c>
      <c r="H78">
        <f t="shared" si="5"/>
        <v>3.1415926535897927</v>
      </c>
      <c r="I78">
        <f t="shared" si="6"/>
        <v>-2.3778893634248981E-16</v>
      </c>
      <c r="J78">
        <f t="shared" si="7"/>
        <v>3.0500058304100919</v>
      </c>
    </row>
    <row r="79" spans="2:10" x14ac:dyDescent="0.2">
      <c r="B79" s="1"/>
      <c r="C79" s="1"/>
    </row>
    <row r="80" spans="2:10" x14ac:dyDescent="0.2">
      <c r="B80" s="1"/>
      <c r="C80" s="1"/>
    </row>
    <row r="81" spans="2:3" x14ac:dyDescent="0.2">
      <c r="B81" s="1"/>
      <c r="C81" s="1"/>
    </row>
    <row r="82" spans="2:3" x14ac:dyDescent="0.2">
      <c r="B82" s="1"/>
      <c r="C82" s="1"/>
    </row>
    <row r="83" spans="2:3" x14ac:dyDescent="0.2">
      <c r="B83" s="1"/>
      <c r="C83" s="1"/>
    </row>
    <row r="84" spans="2:3" x14ac:dyDescent="0.2">
      <c r="B84" s="1"/>
      <c r="C84" s="1"/>
    </row>
    <row r="85" spans="2:3" x14ac:dyDescent="0.2">
      <c r="B85" s="1"/>
      <c r="C85" s="1"/>
    </row>
    <row r="86" spans="2:3" x14ac:dyDescent="0.2">
      <c r="B86" s="1"/>
      <c r="C86" s="1"/>
    </row>
    <row r="87" spans="2:3" x14ac:dyDescent="0.2">
      <c r="B87" s="1"/>
      <c r="C87" s="1"/>
    </row>
    <row r="88" spans="2:3" x14ac:dyDescent="0.2">
      <c r="B88" s="1"/>
      <c r="C88" s="1"/>
    </row>
    <row r="89" spans="2:3" x14ac:dyDescent="0.2">
      <c r="B89" s="1"/>
      <c r="C89" s="1"/>
    </row>
    <row r="90" spans="2:3" x14ac:dyDescent="0.2">
      <c r="B90" s="1"/>
      <c r="C90" s="1"/>
    </row>
    <row r="91" spans="2:3" x14ac:dyDescent="0.2">
      <c r="B91" s="1"/>
      <c r="C91" s="1"/>
    </row>
    <row r="92" spans="2:3" x14ac:dyDescent="0.2">
      <c r="B92" s="1"/>
      <c r="C92" s="1"/>
    </row>
    <row r="93" spans="2:3" x14ac:dyDescent="0.2">
      <c r="B93" s="1"/>
      <c r="C93" s="1"/>
    </row>
    <row r="94" spans="2:3" x14ac:dyDescent="0.2">
      <c r="B94" s="1"/>
      <c r="C94" s="1"/>
    </row>
    <row r="95" spans="2:3" x14ac:dyDescent="0.2">
      <c r="B95" s="1"/>
      <c r="C95" s="1"/>
    </row>
    <row r="96" spans="2:3" x14ac:dyDescent="0.2">
      <c r="B96" s="1"/>
      <c r="C96" s="1"/>
    </row>
    <row r="97" spans="2:3" x14ac:dyDescent="0.2">
      <c r="B97" s="1"/>
      <c r="C97" s="1"/>
    </row>
    <row r="98" spans="2:3" x14ac:dyDescent="0.2">
      <c r="B98" s="1"/>
      <c r="C98" s="1"/>
    </row>
    <row r="99" spans="2:3" x14ac:dyDescent="0.2">
      <c r="B99" s="1"/>
      <c r="C99" s="1"/>
    </row>
    <row r="100" spans="2:3" x14ac:dyDescent="0.2">
      <c r="B100" s="1"/>
      <c r="C100" s="1"/>
    </row>
    <row r="101" spans="2:3" x14ac:dyDescent="0.2">
      <c r="B101" s="1"/>
      <c r="C101" s="1"/>
    </row>
    <row r="102" spans="2:3" x14ac:dyDescent="0.2">
      <c r="B102" s="1"/>
      <c r="C102" s="1"/>
    </row>
    <row r="103" spans="2:3" x14ac:dyDescent="0.2">
      <c r="B103" s="1"/>
      <c r="C103" s="1"/>
    </row>
    <row r="104" spans="2:3" x14ac:dyDescent="0.2">
      <c r="B104" s="1"/>
      <c r="C104" s="1"/>
    </row>
    <row r="105" spans="2:3" x14ac:dyDescent="0.2">
      <c r="B105" s="1"/>
      <c r="C105" s="1"/>
    </row>
    <row r="106" spans="2:3" x14ac:dyDescent="0.2">
      <c r="B106" s="1"/>
      <c r="C106" s="1"/>
    </row>
    <row r="107" spans="2:3" x14ac:dyDescent="0.2">
      <c r="B107" s="1"/>
      <c r="C107" s="1"/>
    </row>
    <row r="108" spans="2:3" x14ac:dyDescent="0.2">
      <c r="B108" s="1"/>
      <c r="C108" s="1"/>
    </row>
    <row r="109" spans="2:3" x14ac:dyDescent="0.2">
      <c r="B109" s="1"/>
      <c r="C109" s="1"/>
    </row>
    <row r="110" spans="2:3" x14ac:dyDescent="0.2">
      <c r="B110" s="1"/>
      <c r="C110" s="1"/>
    </row>
    <row r="111" spans="2:3" x14ac:dyDescent="0.2">
      <c r="B111" s="1"/>
      <c r="C111" s="1"/>
    </row>
    <row r="112" spans="2:3" x14ac:dyDescent="0.2">
      <c r="B112" s="1"/>
      <c r="C112" s="1"/>
    </row>
    <row r="113" spans="2:3" x14ac:dyDescent="0.2">
      <c r="B113" s="1"/>
      <c r="C113" s="1"/>
    </row>
    <row r="114" spans="2:3" x14ac:dyDescent="0.2">
      <c r="B114" s="1"/>
      <c r="C114" s="1"/>
    </row>
    <row r="115" spans="2:3" x14ac:dyDescent="0.2">
      <c r="B115" s="1"/>
      <c r="C115" s="1"/>
    </row>
    <row r="116" spans="2:3" x14ac:dyDescent="0.2">
      <c r="B116" s="1"/>
      <c r="C116" s="1"/>
    </row>
    <row r="117" spans="2:3" x14ac:dyDescent="0.2">
      <c r="B117" s="1"/>
      <c r="C117" s="1"/>
    </row>
    <row r="118" spans="2:3" x14ac:dyDescent="0.2">
      <c r="B118" s="1"/>
      <c r="C118" s="1"/>
    </row>
    <row r="119" spans="2:3" x14ac:dyDescent="0.2">
      <c r="B119" s="1"/>
      <c r="C119" s="1"/>
    </row>
    <row r="120" spans="2:3" x14ac:dyDescent="0.2">
      <c r="B120" s="1"/>
      <c r="C120" s="1"/>
    </row>
    <row r="121" spans="2:3" x14ac:dyDescent="0.2">
      <c r="B121" s="1"/>
      <c r="C121" s="1"/>
    </row>
    <row r="122" spans="2:3" x14ac:dyDescent="0.2">
      <c r="B122" s="1"/>
      <c r="C122" s="1"/>
    </row>
    <row r="123" spans="2:3" x14ac:dyDescent="0.2">
      <c r="B123" s="1"/>
      <c r="C123" s="1"/>
    </row>
    <row r="124" spans="2:3" x14ac:dyDescent="0.2">
      <c r="B124" s="1"/>
      <c r="C124" s="1"/>
    </row>
    <row r="125" spans="2:3" x14ac:dyDescent="0.2">
      <c r="B125" s="1"/>
      <c r="C125" s="1"/>
    </row>
    <row r="126" spans="2:3" x14ac:dyDescent="0.2">
      <c r="B126" s="1"/>
      <c r="C126" s="1"/>
    </row>
    <row r="127" spans="2:3" x14ac:dyDescent="0.2">
      <c r="B127" s="1"/>
      <c r="C127" s="1"/>
    </row>
    <row r="128" spans="2:3" x14ac:dyDescent="0.2">
      <c r="B128" s="1"/>
      <c r="C128" s="1"/>
    </row>
    <row r="129" spans="2:3" x14ac:dyDescent="0.2">
      <c r="B129" s="1"/>
      <c r="C129" s="1"/>
    </row>
    <row r="130" spans="2:3" x14ac:dyDescent="0.2">
      <c r="B130" s="1"/>
      <c r="C130" s="1"/>
    </row>
    <row r="131" spans="2:3" x14ac:dyDescent="0.2">
      <c r="B131" s="1"/>
      <c r="C131" s="1"/>
    </row>
    <row r="132" spans="2:3" x14ac:dyDescent="0.2">
      <c r="B132" s="1"/>
      <c r="C132" s="1"/>
    </row>
    <row r="133" spans="2:3" x14ac:dyDescent="0.2">
      <c r="B133" s="1"/>
      <c r="C133" s="1"/>
    </row>
    <row r="134" spans="2:3" x14ac:dyDescent="0.2">
      <c r="B134" s="1"/>
      <c r="C134" s="1"/>
    </row>
    <row r="135" spans="2:3" x14ac:dyDescent="0.2">
      <c r="B135" s="1"/>
      <c r="C135" s="1"/>
    </row>
    <row r="136" spans="2:3" x14ac:dyDescent="0.2">
      <c r="B136" s="1"/>
      <c r="C136" s="1"/>
    </row>
    <row r="137" spans="2:3" x14ac:dyDescent="0.2">
      <c r="B137" s="1"/>
      <c r="C137" s="1"/>
    </row>
    <row r="138" spans="2:3" x14ac:dyDescent="0.2">
      <c r="B138" s="1"/>
      <c r="C138" s="1"/>
    </row>
    <row r="139" spans="2:3" x14ac:dyDescent="0.2">
      <c r="B139" s="1"/>
      <c r="C139" s="1"/>
    </row>
    <row r="140" spans="2:3" x14ac:dyDescent="0.2">
      <c r="B140" s="1"/>
      <c r="C140" s="1"/>
    </row>
    <row r="141" spans="2:3" x14ac:dyDescent="0.2">
      <c r="B141" s="1"/>
      <c r="C141" s="1"/>
    </row>
    <row r="142" spans="2:3" x14ac:dyDescent="0.2">
      <c r="B142" s="1"/>
      <c r="C142" s="1"/>
    </row>
    <row r="143" spans="2:3" x14ac:dyDescent="0.2">
      <c r="B143" s="1"/>
      <c r="C143" s="1"/>
    </row>
    <row r="144" spans="2:3" x14ac:dyDescent="0.2">
      <c r="B144" s="1"/>
      <c r="C144" s="1"/>
    </row>
    <row r="145" spans="2:3" x14ac:dyDescent="0.2">
      <c r="B145" s="1"/>
      <c r="C145" s="1"/>
    </row>
    <row r="146" spans="2:3" x14ac:dyDescent="0.2">
      <c r="B146" s="1"/>
      <c r="C146" s="1"/>
    </row>
    <row r="147" spans="2:3" x14ac:dyDescent="0.2">
      <c r="B147" s="1"/>
      <c r="C147" s="1"/>
    </row>
    <row r="148" spans="2:3" x14ac:dyDescent="0.2">
      <c r="B148" s="1"/>
      <c r="C148" s="1"/>
    </row>
    <row r="149" spans="2:3" x14ac:dyDescent="0.2">
      <c r="B149" s="1"/>
      <c r="C149" s="1"/>
    </row>
    <row r="150" spans="2:3" x14ac:dyDescent="0.2">
      <c r="B150" s="1"/>
      <c r="C150" s="1"/>
    </row>
    <row r="151" spans="2:3" x14ac:dyDescent="0.2">
      <c r="B151" s="1"/>
      <c r="C151" s="1"/>
    </row>
    <row r="152" spans="2:3" x14ac:dyDescent="0.2">
      <c r="B152" s="1"/>
      <c r="C152" s="1"/>
    </row>
    <row r="153" spans="2:3" x14ac:dyDescent="0.2">
      <c r="B153" s="1"/>
      <c r="C153" s="1"/>
    </row>
    <row r="154" spans="2:3" x14ac:dyDescent="0.2">
      <c r="B154" s="1"/>
      <c r="C154" s="1"/>
    </row>
    <row r="155" spans="2:3" x14ac:dyDescent="0.2">
      <c r="B155" s="1"/>
      <c r="C155" s="1"/>
    </row>
    <row r="156" spans="2:3" x14ac:dyDescent="0.2">
      <c r="B156" s="1"/>
      <c r="C156" s="1"/>
    </row>
    <row r="157" spans="2:3" x14ac:dyDescent="0.2">
      <c r="B157" s="1"/>
      <c r="C157" s="1"/>
    </row>
    <row r="158" spans="2:3" x14ac:dyDescent="0.2">
      <c r="B158" s="1"/>
      <c r="C158" s="1"/>
    </row>
    <row r="159" spans="2:3" x14ac:dyDescent="0.2">
      <c r="B159" s="1"/>
      <c r="C159" s="1"/>
    </row>
    <row r="160" spans="2:3" x14ac:dyDescent="0.2">
      <c r="B160" s="1"/>
      <c r="C160" s="1"/>
    </row>
    <row r="161" spans="2:3" x14ac:dyDescent="0.2">
      <c r="B161" s="1"/>
      <c r="C161" s="1"/>
    </row>
    <row r="162" spans="2:3" x14ac:dyDescent="0.2">
      <c r="B162" s="1"/>
      <c r="C162" s="1"/>
    </row>
    <row r="163" spans="2:3" x14ac:dyDescent="0.2">
      <c r="B163" s="1"/>
      <c r="C163" s="1"/>
    </row>
    <row r="164" spans="2:3" x14ac:dyDescent="0.2">
      <c r="B164" s="1"/>
      <c r="C164" s="1"/>
    </row>
    <row r="165" spans="2:3" x14ac:dyDescent="0.2">
      <c r="B165" s="1"/>
      <c r="C165" s="1"/>
    </row>
    <row r="166" spans="2:3" x14ac:dyDescent="0.2">
      <c r="B166" s="1"/>
      <c r="C166" s="1"/>
    </row>
    <row r="167" spans="2:3" x14ac:dyDescent="0.2">
      <c r="B167" s="1"/>
      <c r="C167" s="1"/>
    </row>
    <row r="168" spans="2:3" x14ac:dyDescent="0.2">
      <c r="B168" s="1"/>
      <c r="C168" s="1"/>
    </row>
    <row r="169" spans="2:3" x14ac:dyDescent="0.2">
      <c r="B169" s="1"/>
      <c r="C169" s="1"/>
    </row>
    <row r="170" spans="2:3" x14ac:dyDescent="0.2">
      <c r="B170" s="1"/>
      <c r="C170" s="1"/>
    </row>
    <row r="171" spans="2:3" x14ac:dyDescent="0.2">
      <c r="B171" s="1"/>
      <c r="C171" s="1"/>
    </row>
    <row r="172" spans="2:3" x14ac:dyDescent="0.2">
      <c r="B172" s="1"/>
      <c r="C172" s="1"/>
    </row>
    <row r="173" spans="2:3" x14ac:dyDescent="0.2">
      <c r="B173" s="1"/>
      <c r="C173" s="1"/>
    </row>
    <row r="174" spans="2:3" x14ac:dyDescent="0.2">
      <c r="B174" s="1"/>
      <c r="C174" s="1"/>
    </row>
    <row r="175" spans="2:3" x14ac:dyDescent="0.2">
      <c r="B175" s="1"/>
      <c r="C175" s="1"/>
    </row>
    <row r="176" spans="2:3" x14ac:dyDescent="0.2">
      <c r="B176" s="1"/>
      <c r="C176" s="1"/>
    </row>
    <row r="177" spans="2:3" x14ac:dyDescent="0.2">
      <c r="B177" s="1"/>
      <c r="C177" s="1"/>
    </row>
    <row r="178" spans="2:3" x14ac:dyDescent="0.2">
      <c r="B178" s="1"/>
      <c r="C178" s="1"/>
    </row>
    <row r="179" spans="2:3" x14ac:dyDescent="0.2">
      <c r="B179" s="1"/>
      <c r="C179" s="1"/>
    </row>
    <row r="180" spans="2:3" x14ac:dyDescent="0.2">
      <c r="B180" s="1"/>
      <c r="C180" s="1"/>
    </row>
    <row r="181" spans="2:3" x14ac:dyDescent="0.2">
      <c r="B181" s="1"/>
      <c r="C181" s="1"/>
    </row>
    <row r="182" spans="2:3" x14ac:dyDescent="0.2">
      <c r="B182" s="1"/>
      <c r="C182" s="1"/>
    </row>
    <row r="183" spans="2:3" x14ac:dyDescent="0.2">
      <c r="B183" s="1"/>
      <c r="C183" s="1"/>
    </row>
    <row r="184" spans="2:3" x14ac:dyDescent="0.2">
      <c r="B184" s="1"/>
      <c r="C184" s="1"/>
    </row>
    <row r="185" spans="2:3" x14ac:dyDescent="0.2">
      <c r="B185" s="1"/>
      <c r="C185" s="1"/>
    </row>
    <row r="186" spans="2:3" x14ac:dyDescent="0.2">
      <c r="B186" s="1"/>
      <c r="C186" s="1"/>
    </row>
    <row r="187" spans="2:3" x14ac:dyDescent="0.2">
      <c r="B187" s="1"/>
      <c r="C187" s="1"/>
    </row>
    <row r="188" spans="2:3" x14ac:dyDescent="0.2">
      <c r="B188" s="1"/>
      <c r="C188" s="1"/>
    </row>
    <row r="189" spans="2:3" x14ac:dyDescent="0.2">
      <c r="B189" s="1"/>
      <c r="C189" s="1"/>
    </row>
    <row r="190" spans="2:3" x14ac:dyDescent="0.2">
      <c r="B190" s="1"/>
      <c r="C190" s="1"/>
    </row>
    <row r="191" spans="2:3" x14ac:dyDescent="0.2">
      <c r="B191" s="1"/>
      <c r="C191" s="1"/>
    </row>
    <row r="192" spans="2:3" x14ac:dyDescent="0.2">
      <c r="B192" s="1"/>
      <c r="C192" s="1"/>
    </row>
    <row r="193" spans="2:3" x14ac:dyDescent="0.2">
      <c r="B193" s="1"/>
      <c r="C193" s="1"/>
    </row>
    <row r="194" spans="2:3" x14ac:dyDescent="0.2">
      <c r="B194" s="1"/>
      <c r="C194" s="1"/>
    </row>
    <row r="195" spans="2:3" x14ac:dyDescent="0.2">
      <c r="B195" s="1"/>
      <c r="C195" s="1"/>
    </row>
    <row r="196" spans="2:3" x14ac:dyDescent="0.2">
      <c r="B196" s="1"/>
      <c r="C196" s="1"/>
    </row>
    <row r="197" spans="2:3" x14ac:dyDescent="0.2">
      <c r="B197" s="1"/>
      <c r="C197" s="1"/>
    </row>
    <row r="198" spans="2:3" x14ac:dyDescent="0.2">
      <c r="B198" s="1"/>
      <c r="C198" s="1"/>
    </row>
    <row r="199" spans="2:3" x14ac:dyDescent="0.2">
      <c r="B199" s="1"/>
      <c r="C199" s="1"/>
    </row>
    <row r="200" spans="2:3" x14ac:dyDescent="0.2">
      <c r="B200" s="1"/>
      <c r="C200" s="1"/>
    </row>
    <row r="201" spans="2:3" x14ac:dyDescent="0.2">
      <c r="B201" s="1"/>
      <c r="C201" s="1"/>
    </row>
    <row r="202" spans="2:3" x14ac:dyDescent="0.2">
      <c r="B202" s="1"/>
      <c r="C202" s="1"/>
    </row>
    <row r="203" spans="2:3" x14ac:dyDescent="0.2">
      <c r="B203" s="1"/>
      <c r="C203" s="1"/>
    </row>
    <row r="204" spans="2:3" x14ac:dyDescent="0.2">
      <c r="B204" s="1"/>
      <c r="C204" s="1"/>
    </row>
    <row r="205" spans="2:3" x14ac:dyDescent="0.2">
      <c r="B205" s="1"/>
      <c r="C205" s="1"/>
    </row>
    <row r="206" spans="2:3" x14ac:dyDescent="0.2">
      <c r="B206" s="1"/>
      <c r="C206" s="1"/>
    </row>
    <row r="207" spans="2:3" x14ac:dyDescent="0.2">
      <c r="B207" s="1"/>
      <c r="C207" s="1"/>
    </row>
    <row r="208" spans="2:3" x14ac:dyDescent="0.2">
      <c r="B208" s="1"/>
      <c r="C208" s="1"/>
    </row>
    <row r="209" spans="2:3" x14ac:dyDescent="0.2">
      <c r="B209" s="1"/>
      <c r="C209" s="1"/>
    </row>
    <row r="210" spans="2:3" x14ac:dyDescent="0.2">
      <c r="B210" s="1"/>
      <c r="C210" s="1"/>
    </row>
    <row r="211" spans="2:3" x14ac:dyDescent="0.2">
      <c r="B211" s="1"/>
      <c r="C211" s="1"/>
    </row>
    <row r="212" spans="2:3" x14ac:dyDescent="0.2">
      <c r="B212" s="1"/>
      <c r="C212" s="1"/>
    </row>
    <row r="213" spans="2:3" x14ac:dyDescent="0.2">
      <c r="B213" s="1"/>
      <c r="C213" s="1"/>
    </row>
    <row r="214" spans="2:3" x14ac:dyDescent="0.2">
      <c r="B214" s="1"/>
      <c r="C214" s="1"/>
    </row>
    <row r="215" spans="2:3" x14ac:dyDescent="0.2">
      <c r="B215" s="1"/>
      <c r="C215" s="1"/>
    </row>
    <row r="216" spans="2:3" x14ac:dyDescent="0.2">
      <c r="B216" s="1"/>
      <c r="C216" s="1"/>
    </row>
    <row r="217" spans="2:3" x14ac:dyDescent="0.2">
      <c r="B217" s="1"/>
      <c r="C217" s="1"/>
    </row>
    <row r="218" spans="2:3" x14ac:dyDescent="0.2">
      <c r="B218" s="1"/>
      <c r="C218" s="1"/>
    </row>
    <row r="219" spans="2:3" x14ac:dyDescent="0.2">
      <c r="B219" s="1"/>
      <c r="C219" s="1"/>
    </row>
    <row r="220" spans="2:3" x14ac:dyDescent="0.2">
      <c r="B220" s="1"/>
      <c r="C220" s="1"/>
    </row>
    <row r="221" spans="2:3" x14ac:dyDescent="0.2">
      <c r="B221" s="1"/>
      <c r="C221" s="1"/>
    </row>
    <row r="222" spans="2:3" x14ac:dyDescent="0.2">
      <c r="B222" s="1"/>
      <c r="C222" s="1"/>
    </row>
    <row r="223" spans="2:3" x14ac:dyDescent="0.2">
      <c r="B223" s="1"/>
      <c r="C223" s="1"/>
    </row>
    <row r="224" spans="2:3" x14ac:dyDescent="0.2">
      <c r="B224" s="1"/>
      <c r="C224" s="1"/>
    </row>
    <row r="225" spans="2:3" x14ac:dyDescent="0.2">
      <c r="B225" s="1"/>
      <c r="C225" s="1"/>
    </row>
    <row r="226" spans="2:3" x14ac:dyDescent="0.2">
      <c r="B226" s="1"/>
      <c r="C226" s="1"/>
    </row>
    <row r="227" spans="2:3" x14ac:dyDescent="0.2">
      <c r="B227" s="1"/>
      <c r="C227" s="1"/>
    </row>
    <row r="228" spans="2:3" x14ac:dyDescent="0.2">
      <c r="B228" s="1"/>
      <c r="C228" s="1"/>
    </row>
    <row r="229" spans="2:3" x14ac:dyDescent="0.2">
      <c r="B229" s="1"/>
      <c r="C229" s="1"/>
    </row>
    <row r="230" spans="2:3" x14ac:dyDescent="0.2">
      <c r="B230" s="1"/>
      <c r="C230" s="1"/>
    </row>
    <row r="231" spans="2:3" x14ac:dyDescent="0.2">
      <c r="B231" s="1"/>
      <c r="C231" s="1"/>
    </row>
    <row r="232" spans="2:3" x14ac:dyDescent="0.2">
      <c r="B232" s="1"/>
      <c r="C232" s="1"/>
    </row>
    <row r="233" spans="2:3" x14ac:dyDescent="0.2">
      <c r="B233" s="1"/>
      <c r="C233" s="1"/>
    </row>
    <row r="234" spans="2:3" x14ac:dyDescent="0.2">
      <c r="B234" s="1"/>
      <c r="C234" s="1"/>
    </row>
    <row r="235" spans="2:3" x14ac:dyDescent="0.2">
      <c r="B235" s="1"/>
      <c r="C235" s="1"/>
    </row>
    <row r="236" spans="2:3" x14ac:dyDescent="0.2">
      <c r="B236" s="1"/>
      <c r="C236" s="1"/>
    </row>
    <row r="237" spans="2:3" x14ac:dyDescent="0.2">
      <c r="B237" s="1"/>
      <c r="C237" s="1"/>
    </row>
    <row r="238" spans="2:3" x14ac:dyDescent="0.2">
      <c r="B238" s="1"/>
      <c r="C238" s="1"/>
    </row>
    <row r="239" spans="2:3" x14ac:dyDescent="0.2">
      <c r="B239" s="1"/>
      <c r="C239" s="1"/>
    </row>
    <row r="240" spans="2:3" x14ac:dyDescent="0.2">
      <c r="B240" s="1"/>
      <c r="C240" s="1"/>
    </row>
    <row r="241" spans="2:3" x14ac:dyDescent="0.2">
      <c r="B241" s="1"/>
      <c r="C241" s="1"/>
    </row>
    <row r="242" spans="2:3" x14ac:dyDescent="0.2">
      <c r="B242" s="1"/>
      <c r="C242" s="1"/>
    </row>
    <row r="243" spans="2:3" x14ac:dyDescent="0.2">
      <c r="B243" s="1"/>
      <c r="C243" s="1"/>
    </row>
    <row r="244" spans="2:3" x14ac:dyDescent="0.2">
      <c r="B244" s="1"/>
      <c r="C244" s="1"/>
    </row>
    <row r="245" spans="2:3" x14ac:dyDescent="0.2">
      <c r="B245" s="1"/>
      <c r="C245" s="1"/>
    </row>
    <row r="246" spans="2:3" x14ac:dyDescent="0.2">
      <c r="B246" s="1"/>
      <c r="C246" s="1"/>
    </row>
    <row r="247" spans="2:3" x14ac:dyDescent="0.2">
      <c r="B247" s="1"/>
      <c r="C247" s="1"/>
    </row>
    <row r="248" spans="2:3" x14ac:dyDescent="0.2">
      <c r="B248" s="1"/>
      <c r="C248" s="1"/>
    </row>
    <row r="249" spans="2:3" x14ac:dyDescent="0.2">
      <c r="B249" s="1"/>
      <c r="C249" s="1"/>
    </row>
    <row r="250" spans="2:3" x14ac:dyDescent="0.2">
      <c r="B250" s="1"/>
      <c r="C250" s="1"/>
    </row>
    <row r="251" spans="2:3" x14ac:dyDescent="0.2">
      <c r="B251" s="1"/>
      <c r="C251" s="1"/>
    </row>
    <row r="252" spans="2:3" x14ac:dyDescent="0.2">
      <c r="B252" s="1"/>
      <c r="C252" s="1"/>
    </row>
    <row r="253" spans="2:3" x14ac:dyDescent="0.2">
      <c r="B253" s="1"/>
      <c r="C253" s="1"/>
    </row>
    <row r="254" spans="2:3" x14ac:dyDescent="0.2">
      <c r="B254" s="1"/>
      <c r="C254" s="1"/>
    </row>
    <row r="255" spans="2:3" x14ac:dyDescent="0.2">
      <c r="B255" s="1"/>
      <c r="C255" s="1"/>
    </row>
    <row r="256" spans="2:3" x14ac:dyDescent="0.2">
      <c r="B256" s="1"/>
      <c r="C256" s="1"/>
    </row>
    <row r="257" spans="2:3" x14ac:dyDescent="0.2">
      <c r="B257" s="1"/>
      <c r="C257" s="1"/>
    </row>
    <row r="258" spans="2:3" x14ac:dyDescent="0.2">
      <c r="B258" s="1"/>
      <c r="C258" s="1"/>
    </row>
    <row r="259" spans="2:3" x14ac:dyDescent="0.2">
      <c r="B259" s="1"/>
      <c r="C259" s="1"/>
    </row>
    <row r="260" spans="2:3" x14ac:dyDescent="0.2">
      <c r="B260" s="1"/>
      <c r="C260" s="1"/>
    </row>
    <row r="261" spans="2:3" x14ac:dyDescent="0.2">
      <c r="B261" s="1"/>
      <c r="C261" s="1"/>
    </row>
    <row r="262" spans="2:3" x14ac:dyDescent="0.2">
      <c r="B262" s="1"/>
      <c r="C262" s="1"/>
    </row>
    <row r="263" spans="2:3" x14ac:dyDescent="0.2">
      <c r="B263" s="1"/>
      <c r="C263" s="1"/>
    </row>
    <row r="264" spans="2:3" x14ac:dyDescent="0.2">
      <c r="B264" s="1"/>
      <c r="C264" s="1"/>
    </row>
    <row r="265" spans="2:3" x14ac:dyDescent="0.2">
      <c r="B265" s="1"/>
      <c r="C265" s="1"/>
    </row>
    <row r="266" spans="2:3" x14ac:dyDescent="0.2">
      <c r="B266" s="1"/>
      <c r="C266" s="1"/>
    </row>
    <row r="267" spans="2:3" x14ac:dyDescent="0.2">
      <c r="B267" s="1"/>
      <c r="C267" s="1"/>
    </row>
    <row r="268" spans="2:3" x14ac:dyDescent="0.2">
      <c r="B268" s="1"/>
      <c r="C268" s="1"/>
    </row>
    <row r="269" spans="2:3" x14ac:dyDescent="0.2">
      <c r="B269" s="1"/>
      <c r="C269" s="1"/>
    </row>
    <row r="270" spans="2:3" x14ac:dyDescent="0.2">
      <c r="B270" s="1"/>
      <c r="C270" s="1"/>
    </row>
    <row r="271" spans="2:3" x14ac:dyDescent="0.2">
      <c r="B271" s="1"/>
      <c r="C271" s="1"/>
    </row>
    <row r="272" spans="2:3" x14ac:dyDescent="0.2">
      <c r="B272" s="1"/>
      <c r="C272" s="1"/>
    </row>
    <row r="273" spans="2:3" x14ac:dyDescent="0.2">
      <c r="B273" s="1"/>
      <c r="C273" s="1"/>
    </row>
    <row r="274" spans="2:3" x14ac:dyDescent="0.2">
      <c r="B274" s="1"/>
      <c r="C274" s="1"/>
    </row>
    <row r="275" spans="2:3" x14ac:dyDescent="0.2">
      <c r="B275" s="1"/>
      <c r="C275" s="1"/>
    </row>
    <row r="276" spans="2:3" x14ac:dyDescent="0.2">
      <c r="B276" s="1"/>
      <c r="C276" s="1"/>
    </row>
    <row r="277" spans="2:3" x14ac:dyDescent="0.2">
      <c r="B277" s="1"/>
      <c r="C277" s="1"/>
    </row>
    <row r="278" spans="2:3" x14ac:dyDescent="0.2">
      <c r="B278" s="1"/>
      <c r="C278" s="1"/>
    </row>
    <row r="279" spans="2:3" x14ac:dyDescent="0.2">
      <c r="B279" s="1"/>
      <c r="C279" s="1"/>
    </row>
    <row r="280" spans="2:3" x14ac:dyDescent="0.2">
      <c r="B280" s="1"/>
      <c r="C280" s="1"/>
    </row>
    <row r="281" spans="2:3" x14ac:dyDescent="0.2">
      <c r="B281" s="1"/>
      <c r="C281" s="1"/>
    </row>
    <row r="282" spans="2:3" x14ac:dyDescent="0.2">
      <c r="B282" s="1"/>
      <c r="C282" s="1"/>
    </row>
    <row r="283" spans="2:3" x14ac:dyDescent="0.2">
      <c r="B283" s="1"/>
      <c r="C283" s="1"/>
    </row>
    <row r="284" spans="2:3" x14ac:dyDescent="0.2">
      <c r="B284" s="1"/>
      <c r="C284" s="1"/>
    </row>
    <row r="285" spans="2:3" x14ac:dyDescent="0.2">
      <c r="B285" s="1"/>
      <c r="C285" s="1"/>
    </row>
    <row r="286" spans="2:3" x14ac:dyDescent="0.2">
      <c r="B286" s="1"/>
      <c r="C286" s="1"/>
    </row>
    <row r="287" spans="2:3" x14ac:dyDescent="0.2">
      <c r="B287" s="1"/>
      <c r="C287" s="1"/>
    </row>
    <row r="288" spans="2:3" x14ac:dyDescent="0.2">
      <c r="B288" s="1"/>
      <c r="C288" s="1"/>
    </row>
    <row r="289" spans="2:3" x14ac:dyDescent="0.2">
      <c r="B289" s="1"/>
      <c r="C289" s="1"/>
    </row>
    <row r="290" spans="2:3" x14ac:dyDescent="0.2">
      <c r="B290" s="1"/>
      <c r="C290" s="1"/>
    </row>
    <row r="291" spans="2:3" x14ac:dyDescent="0.2">
      <c r="B291" s="1"/>
      <c r="C291" s="1"/>
    </row>
    <row r="292" spans="2:3" x14ac:dyDescent="0.2">
      <c r="B292" s="1"/>
      <c r="C292" s="1"/>
    </row>
    <row r="293" spans="2:3" x14ac:dyDescent="0.2">
      <c r="B293" s="1"/>
      <c r="C293" s="1"/>
    </row>
    <row r="294" spans="2:3" x14ac:dyDescent="0.2">
      <c r="B294" s="1"/>
      <c r="C294" s="1"/>
    </row>
    <row r="295" spans="2:3" x14ac:dyDescent="0.2">
      <c r="B295" s="1"/>
      <c r="C295" s="1"/>
    </row>
    <row r="296" spans="2:3" x14ac:dyDescent="0.2">
      <c r="B296" s="1"/>
      <c r="C296" s="1"/>
    </row>
    <row r="297" spans="2:3" x14ac:dyDescent="0.2">
      <c r="B297" s="1"/>
      <c r="C297" s="1"/>
    </row>
    <row r="298" spans="2:3" x14ac:dyDescent="0.2">
      <c r="B298" s="1"/>
      <c r="C298" s="1"/>
    </row>
    <row r="299" spans="2:3" x14ac:dyDescent="0.2">
      <c r="B299" s="1"/>
      <c r="C299" s="1"/>
    </row>
    <row r="300" spans="2:3" x14ac:dyDescent="0.2">
      <c r="B300" s="1"/>
      <c r="C300" s="1"/>
    </row>
    <row r="301" spans="2:3" x14ac:dyDescent="0.2">
      <c r="B301" s="1"/>
      <c r="C301" s="1"/>
    </row>
    <row r="302" spans="2:3" x14ac:dyDescent="0.2">
      <c r="B302" s="1"/>
      <c r="C302" s="1"/>
    </row>
    <row r="303" spans="2:3" x14ac:dyDescent="0.2">
      <c r="B303" s="1"/>
      <c r="C303" s="1"/>
    </row>
    <row r="304" spans="2:3" x14ac:dyDescent="0.2">
      <c r="B304" s="1"/>
      <c r="C304" s="1"/>
    </row>
    <row r="305" spans="2:3" x14ac:dyDescent="0.2">
      <c r="B305" s="1"/>
      <c r="C305" s="1"/>
    </row>
    <row r="306" spans="2:3" x14ac:dyDescent="0.2">
      <c r="B306" s="1"/>
      <c r="C306" s="1"/>
    </row>
    <row r="307" spans="2:3" x14ac:dyDescent="0.2">
      <c r="B307" s="1"/>
      <c r="C307" s="1"/>
    </row>
    <row r="308" spans="2:3" x14ac:dyDescent="0.2">
      <c r="B308" s="1"/>
      <c r="C308" s="1"/>
    </row>
    <row r="309" spans="2:3" x14ac:dyDescent="0.2">
      <c r="B309" s="1"/>
      <c r="C309" s="1"/>
    </row>
    <row r="310" spans="2:3" x14ac:dyDescent="0.2">
      <c r="B310" s="1"/>
      <c r="C310" s="1"/>
    </row>
    <row r="311" spans="2:3" x14ac:dyDescent="0.2">
      <c r="B311" s="1"/>
      <c r="C311" s="1"/>
    </row>
    <row r="312" spans="2:3" x14ac:dyDescent="0.2">
      <c r="B312" s="1"/>
      <c r="C312" s="1"/>
    </row>
    <row r="313" spans="2:3" x14ac:dyDescent="0.2">
      <c r="B313" s="1"/>
      <c r="C313" s="1"/>
    </row>
    <row r="314" spans="2:3" x14ac:dyDescent="0.2">
      <c r="B314" s="1"/>
      <c r="C314" s="1"/>
    </row>
    <row r="315" spans="2:3" x14ac:dyDescent="0.2">
      <c r="B315" s="1"/>
      <c r="C315" s="1"/>
    </row>
    <row r="316" spans="2:3" x14ac:dyDescent="0.2">
      <c r="B316" s="1"/>
      <c r="C316" s="1"/>
    </row>
    <row r="317" spans="2:3" x14ac:dyDescent="0.2">
      <c r="B317" s="1"/>
      <c r="C317" s="1"/>
    </row>
    <row r="318" spans="2:3" x14ac:dyDescent="0.2">
      <c r="B318" s="1"/>
      <c r="C318" s="1"/>
    </row>
    <row r="319" spans="2:3" x14ac:dyDescent="0.2">
      <c r="B319" s="1"/>
      <c r="C319" s="1"/>
    </row>
    <row r="320" spans="2:3" x14ac:dyDescent="0.2">
      <c r="B320" s="1"/>
      <c r="C320" s="1"/>
    </row>
    <row r="321" spans="2:3" x14ac:dyDescent="0.2">
      <c r="B321" s="1"/>
      <c r="C321" s="1"/>
    </row>
    <row r="322" spans="2:3" x14ac:dyDescent="0.2">
      <c r="B322" s="1"/>
      <c r="C322" s="1"/>
    </row>
    <row r="323" spans="2:3" x14ac:dyDescent="0.2">
      <c r="B323" s="1"/>
      <c r="C323" s="1"/>
    </row>
    <row r="324" spans="2:3" x14ac:dyDescent="0.2">
      <c r="B324" s="1"/>
      <c r="C324" s="1"/>
    </row>
    <row r="325" spans="2:3" x14ac:dyDescent="0.2">
      <c r="B325" s="1"/>
      <c r="C325" s="1"/>
    </row>
    <row r="326" spans="2:3" x14ac:dyDescent="0.2">
      <c r="B326" s="1"/>
      <c r="C326" s="1"/>
    </row>
    <row r="327" spans="2:3" x14ac:dyDescent="0.2">
      <c r="B327" s="1"/>
      <c r="C327" s="1"/>
    </row>
    <row r="328" spans="2:3" x14ac:dyDescent="0.2">
      <c r="B328" s="1"/>
      <c r="C328" s="1"/>
    </row>
    <row r="329" spans="2:3" x14ac:dyDescent="0.2">
      <c r="B329" s="1"/>
      <c r="C329" s="1"/>
    </row>
    <row r="330" spans="2:3" x14ac:dyDescent="0.2">
      <c r="B330" s="1"/>
      <c r="C330" s="1"/>
    </row>
    <row r="331" spans="2:3" x14ac:dyDescent="0.2">
      <c r="B331" s="1"/>
      <c r="C331" s="1"/>
    </row>
    <row r="332" spans="2:3" x14ac:dyDescent="0.2">
      <c r="B332" s="1"/>
      <c r="C332" s="1"/>
    </row>
    <row r="333" spans="2:3" x14ac:dyDescent="0.2">
      <c r="B333" s="1"/>
      <c r="C333" s="1"/>
    </row>
    <row r="334" spans="2:3" x14ac:dyDescent="0.2">
      <c r="B334" s="1"/>
      <c r="C334" s="1"/>
    </row>
    <row r="335" spans="2:3" x14ac:dyDescent="0.2">
      <c r="B335" s="1"/>
      <c r="C335" s="1"/>
    </row>
    <row r="336" spans="2:3" x14ac:dyDescent="0.2">
      <c r="B336" s="1"/>
      <c r="C336" s="1"/>
    </row>
    <row r="337" spans="2:3" x14ac:dyDescent="0.2">
      <c r="B337" s="1"/>
      <c r="C337" s="1"/>
    </row>
    <row r="338" spans="2:3" x14ac:dyDescent="0.2">
      <c r="B338" s="1"/>
      <c r="C338" s="1"/>
    </row>
    <row r="339" spans="2:3" x14ac:dyDescent="0.2">
      <c r="B339" s="1"/>
      <c r="C339" s="1"/>
    </row>
    <row r="340" spans="2:3" x14ac:dyDescent="0.2">
      <c r="B340" s="1"/>
      <c r="C340" s="1"/>
    </row>
    <row r="341" spans="2:3" x14ac:dyDescent="0.2">
      <c r="B341" s="1"/>
      <c r="C341" s="1"/>
    </row>
    <row r="342" spans="2:3" x14ac:dyDescent="0.2">
      <c r="B342" s="1"/>
      <c r="C342" s="1"/>
    </row>
    <row r="343" spans="2:3" x14ac:dyDescent="0.2">
      <c r="B343" s="1"/>
      <c r="C343" s="1"/>
    </row>
    <row r="344" spans="2:3" x14ac:dyDescent="0.2">
      <c r="B344" s="1"/>
      <c r="C344" s="1"/>
    </row>
    <row r="345" spans="2:3" x14ac:dyDescent="0.2">
      <c r="B345" s="1"/>
      <c r="C345" s="1"/>
    </row>
    <row r="346" spans="2:3" x14ac:dyDescent="0.2">
      <c r="B346" s="1"/>
      <c r="C346" s="1"/>
    </row>
    <row r="347" spans="2:3" x14ac:dyDescent="0.2">
      <c r="B347" s="1"/>
      <c r="C347" s="1"/>
    </row>
    <row r="348" spans="2:3" x14ac:dyDescent="0.2">
      <c r="B348" s="1"/>
      <c r="C348" s="1"/>
    </row>
    <row r="349" spans="2:3" x14ac:dyDescent="0.2">
      <c r="B349" s="1"/>
      <c r="C349" s="1"/>
    </row>
    <row r="350" spans="2:3" x14ac:dyDescent="0.2">
      <c r="B350" s="1"/>
      <c r="C350" s="1"/>
    </row>
    <row r="351" spans="2:3" x14ac:dyDescent="0.2">
      <c r="B351" s="1"/>
      <c r="C351" s="1"/>
    </row>
    <row r="352" spans="2:3" x14ac:dyDescent="0.2">
      <c r="B352" s="1"/>
      <c r="C352" s="1"/>
    </row>
    <row r="353" spans="2:3" x14ac:dyDescent="0.2">
      <c r="B353" s="1"/>
      <c r="C353" s="1"/>
    </row>
    <row r="354" spans="2:3" x14ac:dyDescent="0.2">
      <c r="B354" s="1"/>
      <c r="C354" s="1"/>
    </row>
    <row r="355" spans="2:3" x14ac:dyDescent="0.2">
      <c r="B355" s="1"/>
      <c r="C355" s="1"/>
    </row>
    <row r="356" spans="2:3" x14ac:dyDescent="0.2">
      <c r="B356" s="1"/>
      <c r="C356" s="1"/>
    </row>
    <row r="357" spans="2:3" x14ac:dyDescent="0.2">
      <c r="B357" s="1"/>
      <c r="C357" s="1"/>
    </row>
    <row r="358" spans="2:3" x14ac:dyDescent="0.2">
      <c r="B358" s="1"/>
      <c r="C358" s="1"/>
    </row>
    <row r="359" spans="2:3" x14ac:dyDescent="0.2">
      <c r="B359" s="1"/>
      <c r="C359" s="1"/>
    </row>
    <row r="360" spans="2:3" x14ac:dyDescent="0.2">
      <c r="B360" s="1"/>
      <c r="C360" s="1"/>
    </row>
    <row r="361" spans="2:3" x14ac:dyDescent="0.2">
      <c r="B361" s="1"/>
      <c r="C361" s="1"/>
    </row>
    <row r="362" spans="2:3" x14ac:dyDescent="0.2">
      <c r="B362" s="1"/>
      <c r="C362" s="1"/>
    </row>
    <row r="363" spans="2:3" x14ac:dyDescent="0.2">
      <c r="B363" s="1"/>
      <c r="C363" s="1"/>
    </row>
    <row r="364" spans="2:3" x14ac:dyDescent="0.2">
      <c r="B364" s="1"/>
      <c r="C364" s="1"/>
    </row>
    <row r="365" spans="2:3" x14ac:dyDescent="0.2">
      <c r="B365" s="1"/>
      <c r="C365" s="1"/>
    </row>
    <row r="366" spans="2:3" x14ac:dyDescent="0.2">
      <c r="B366" s="1"/>
      <c r="C36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Geometry</vt:lpstr>
      <vt:lpstr>Dynamics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 Pasquale</dc:creator>
  <cp:lastModifiedBy>Jonathan Sztainberg</cp:lastModifiedBy>
  <dcterms:created xsi:type="dcterms:W3CDTF">2026-02-28T23:10:59Z</dcterms:created>
  <dcterms:modified xsi:type="dcterms:W3CDTF">2026-03-08T18:39:13Z</dcterms:modified>
</cp:coreProperties>
</file>